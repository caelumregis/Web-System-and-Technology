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4"/>
  </sheets>
  <definedNames/>
  <calcPr/>
</workbook>
</file>

<file path=xl/sharedStrings.xml><?xml version="1.0" encoding="utf-8"?>
<sst xmlns="http://schemas.openxmlformats.org/spreadsheetml/2006/main" count="178" uniqueCount="129">
  <si>
    <t>MO-IT161 - Web Systems and Technology</t>
  </si>
  <si>
    <t>Gantt Chart of the Team-Selected Web Systems and Technology Project</t>
  </si>
  <si>
    <t>I. Project Information</t>
  </si>
  <si>
    <t>Project Name</t>
  </si>
  <si>
    <t>Tipsy Bean Cafe</t>
  </si>
  <si>
    <t>Project Start Date</t>
  </si>
  <si>
    <t>Project Development Team</t>
  </si>
  <si>
    <r>
      <rPr>
        <rFont val="Nunito"/>
        <b/>
        <color theme="1"/>
        <sz val="11.0"/>
      </rPr>
      <t>Group 10:</t>
    </r>
    <r>
      <rPr>
        <rFont val="Nunito"/>
        <color theme="1"/>
        <sz val="11.0"/>
      </rPr>
      <t xml:space="preserve">
Santos, Kristien Jaia
Virtucio, Eric Jay
Rementas, El Jean
Vergara, Charley</t>
    </r>
  </si>
  <si>
    <t>Project End Date</t>
  </si>
  <si>
    <t>II. Project Activities</t>
  </si>
  <si>
    <t>Task No</t>
  </si>
  <si>
    <t>Task Name</t>
  </si>
  <si>
    <t>Task Activities</t>
  </si>
  <si>
    <t>Assigned Member</t>
  </si>
  <si>
    <t>Start Date</t>
  </si>
  <si>
    <t>Due Date</t>
  </si>
  <si>
    <t>Duration (Days)</t>
  </si>
  <si>
    <t>Percentage of Task Completion</t>
  </si>
  <si>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</si>
  <si>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</si>
  <si>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</si>
  <si>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</si>
  <si>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</si>
  <si>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</si>
  <si>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</si>
  <si>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</si>
  <si>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</si>
  <si>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</si>
  <si>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</si>
  <si>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</si>
  <si>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</si>
  <si>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Scaffold Activity</t>
  </si>
  <si>
    <t>Project Initiation</t>
  </si>
  <si>
    <t>Group Project Selection</t>
  </si>
  <si>
    <t>Requirement Analysis</t>
  </si>
  <si>
    <t>Website Design</t>
  </si>
  <si>
    <t>Draft of Milestone 1: Milestone 1 - HTML and CSS Template</t>
  </si>
  <si>
    <t>Milestone 1: Milestone 1 - HTML and CSS Template</t>
  </si>
  <si>
    <t>Milestone 1 Revision Week</t>
  </si>
  <si>
    <t xml:space="preserve"> JavaScript and Bootstrap</t>
  </si>
  <si>
    <t>Draft of Milestone 2: Milestone 2: Interactive Website</t>
  </si>
  <si>
    <t>Milestone 2: Milestone 2: Interactive Website</t>
  </si>
  <si>
    <t>Milestone 2 Revision/Terminal Assessment</t>
  </si>
  <si>
    <t>Terminal Assessment: Project Presentation</t>
  </si>
  <si>
    <t>Days</t>
  </si>
  <si>
    <t>I.</t>
  </si>
  <si>
    <t>I.I</t>
  </si>
  <si>
    <t>Form a group and create a Gspace for meetings</t>
  </si>
  <si>
    <t>Includes creating a group folder and assessing initial requirements</t>
  </si>
  <si>
    <t>ALL</t>
  </si>
  <si>
    <t>I.II</t>
  </si>
  <si>
    <t>Project Plan</t>
  </si>
  <si>
    <t>Create Gantt Chart using template, customize as needed</t>
  </si>
  <si>
    <t>Rementas</t>
  </si>
  <si>
    <t>Santos</t>
  </si>
  <si>
    <t>I.III</t>
  </si>
  <si>
    <t>Group Meeting</t>
  </si>
  <si>
    <t>Meet on Gspace to discuss roles and project ideas</t>
  </si>
  <si>
    <t>I.IV</t>
  </si>
  <si>
    <t>Group Approval</t>
  </si>
  <si>
    <t>Finalize project and start Requirements Gathering Document</t>
  </si>
  <si>
    <t>Define Project Objectives and Scope, Identify Stakeholders</t>
  </si>
  <si>
    <t>• Brainstorm with team to clarify project goals.
• Create a project charter outlining objectives and scope.
• Identify key stakeholders and their roles in the project.</t>
  </si>
  <si>
    <t>Virtucio</t>
  </si>
  <si>
    <t>Document Functional and Non-Functional Requirements</t>
  </si>
  <si>
    <t>Compile a comprehensive list of functional, non-functional, technical, and business requirements based on collected data.</t>
  </si>
  <si>
    <t>Update/revisions of the Document</t>
  </si>
  <si>
    <t>Update new information if available or as project scope changes</t>
  </si>
  <si>
    <t>Finalize Requirements Gathering Document</t>
  </si>
  <si>
    <t>Review the Document</t>
  </si>
  <si>
    <t>Requirements Gathering</t>
  </si>
  <si>
    <t>Submit document in Camu</t>
  </si>
  <si>
    <t>Draft HTML Structure</t>
  </si>
  <si>
    <t>• Identify Key Sections
• Determine Additional Elements</t>
  </si>
  <si>
    <t>Wireframe Design</t>
  </si>
  <si>
    <t>Create draft for wireframe</t>
  </si>
  <si>
    <t>Wireframe Finalization</t>
  </si>
  <si>
    <t>Review the wireframe, Revise if necessary</t>
  </si>
  <si>
    <t>Wireframe Documentation</t>
  </si>
  <si>
    <t>Fill up the Wireframe Justification and Technical Planning Dcocument</t>
  </si>
  <si>
    <t>Homework: Project Wireframe</t>
  </si>
  <si>
    <t>II.</t>
  </si>
  <si>
    <t>II.I</t>
  </si>
  <si>
    <t>Create draft for Milestone 1</t>
  </si>
  <si>
    <t>Build the HTML and CSS template for Tipsy Bean</t>
  </si>
  <si>
    <t>II.II</t>
  </si>
  <si>
    <t>Week 4: Milestone 1 - HTML and CSS Template (Draft)</t>
  </si>
  <si>
    <t>Submit in Camu</t>
  </si>
  <si>
    <t>II.III</t>
  </si>
  <si>
    <t>Milestone 1 Revisions</t>
  </si>
  <si>
    <t>Revise as per feedback</t>
  </si>
  <si>
    <t>II.IV</t>
  </si>
  <si>
    <t>Finalize and Submit Milestone 1</t>
  </si>
  <si>
    <t>Implementing JavaScript and Bootstrap</t>
  </si>
  <si>
    <t>Practice</t>
  </si>
  <si>
    <t>Create a Personal Copy of the project to practice JavaScript and Bootstrap</t>
  </si>
  <si>
    <t>Meet with the team to discuss progress and plans for Milestone 2</t>
  </si>
  <si>
    <t>III.</t>
  </si>
  <si>
    <t>Milestone 2: Interactive Website</t>
  </si>
  <si>
    <t>III.I</t>
  </si>
  <si>
    <t>Create draft for Milestone 2</t>
  </si>
  <si>
    <t>III.III</t>
  </si>
  <si>
    <t xml:space="preserve">Revise Milestone 2 </t>
  </si>
  <si>
    <t>According to feedback or consultation</t>
  </si>
  <si>
    <t>III.IV</t>
  </si>
  <si>
    <t>Finalize and Submit Milestone 2</t>
  </si>
  <si>
    <t>Testing Phase</t>
  </si>
  <si>
    <t>Create a Test Case Document</t>
  </si>
  <si>
    <t>Share GitHub Repository for testing and test partner group’s work</t>
  </si>
  <si>
    <t>Vergara</t>
  </si>
  <si>
    <t>Conduct the Testing Process</t>
  </si>
  <si>
    <t>Revise Web Design</t>
  </si>
  <si>
    <t>According to testing feedback</t>
  </si>
  <si>
    <t>IV.</t>
  </si>
  <si>
    <t>Terminal Assessment: Refined and Tested Interactive Website</t>
  </si>
  <si>
    <t>IV.I</t>
  </si>
  <si>
    <t>Create document for TA Draft</t>
  </si>
  <si>
    <t>Begin preparation for the Terminal Assessment</t>
  </si>
  <si>
    <t>IV.II</t>
  </si>
  <si>
    <t>Finalize Web Design</t>
  </si>
  <si>
    <t>Review and Revise</t>
  </si>
  <si>
    <t>IV.IV</t>
  </si>
  <si>
    <t>Project Plan Documentation</t>
  </si>
  <si>
    <t>Update Project Plan</t>
  </si>
  <si>
    <t>IV.V</t>
  </si>
  <si>
    <t>TA: Refined and Tested Interactive Website(Draft)</t>
  </si>
  <si>
    <t>Revise TA</t>
  </si>
  <si>
    <t>If necessary</t>
  </si>
  <si>
    <t>TA: Refined and Tested Interactive Website(Submission)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</si>
</sst>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d"/>
    <numFmt numFmtId="166" formatCode="mmmm&quot; &quot;d"/>
  </numFmts>
  <fonts count="16">
    <font>
      <sz val="10.0"/>
      <color rgb="FF000000"/>
      <name val="Arial"/>
      <scheme val="minor"/>
    </font>
    <font>
      <color theme="1"/>
      <name val="Nunito"/>
    </font>
    <font>
      <b/>
      <sz val="14.0"/>
      <color rgb="FFFFFFFF"/>
      <name val="Nunito"/>
    </font>
    <font>
      <b/>
      <sz val="11.0"/>
      <color rgb="FFFFFFFF"/>
      <name val="Nunito"/>
    </font>
    <font>
      <color theme="1"/>
      <name val="Arial"/>
    </font>
    <font>
      <b/>
      <sz val="11.0"/>
      <color theme="1"/>
      <name val="Nunito"/>
    </font>
    <font/>
    <font>
      <sz val="11.0"/>
      <color theme="1"/>
      <name val="Nunito"/>
    </font>
    <font>
      <b/>
      <sz val="12.0"/>
      <color theme="1"/>
      <name val="Nunito"/>
    </font>
    <font>
      <b/>
      <color theme="1"/>
      <name val="Nunito"/>
    </font>
    <font>
      <b/>
      <color rgb="FFFFFFFF"/>
      <name val="Nunito"/>
    </font>
    <font>
      <b/>
      <i/>
      <color rgb="FFFFFFFF"/>
      <name val="Nunito"/>
    </font>
    <font>
      <i/>
      <sz val="9.0"/>
      <color rgb="FFFFFFFF"/>
      <name val="Nunito"/>
    </font>
    <font>
      <sz val="10.0"/>
      <color rgb="FF000000"/>
      <name val="Nunito"/>
    </font>
    <font>
      <color rgb="FF6AA84F"/>
      <name val="Nunito"/>
    </font>
    <font>
      <sz val="11.0"/>
      <color rgb="FF000000"/>
      <name val="Nunito"/>
    </font>
  </fonts>
  <fills count="26">
    <fill>
      <patternFill patternType="none"/>
    </fill>
    <fill>
      <patternFill patternType="lightGray"/>
    </fill>
    <fill>
      <patternFill patternType="solid">
        <fgColor rgb="FF1B2A5E"/>
        <bgColor rgb="FF1B2A5E"/>
      </patternFill>
    </fill>
    <fill>
      <patternFill patternType="solid">
        <fgColor rgb="FF1B3478"/>
        <bgColor rgb="FF1B3478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660000"/>
        <bgColor rgb="FF660000"/>
      </patternFill>
    </fill>
    <fill>
      <patternFill patternType="solid">
        <fgColor rgb="FF7F6000"/>
        <bgColor rgb="FF7F6000"/>
      </patternFill>
    </fill>
    <fill>
      <patternFill patternType="solid">
        <fgColor rgb="FF0C343D"/>
        <bgColor rgb="FF0C343D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134F5C"/>
        <bgColor rgb="FF134F5C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45818E"/>
        <bgColor rgb="FF45818E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F5E4"/>
        <bgColor rgb="FFFFF5E4"/>
      </patternFill>
    </fill>
    <fill>
      <patternFill patternType="solid">
        <fgColor rgb="FFD9EAD3"/>
        <bgColor rgb="FFD9EAD3"/>
      </patternFill>
    </fill>
  </fills>
  <borders count="22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medium">
        <color rgb="FF999999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medium">
        <color rgb="FF99999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right style="medium">
        <color rgb="FF99999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medium">
        <color rgb="FF999999"/>
      </right>
      <bottom style="thin">
        <color rgb="FFD9D9D9"/>
      </bottom>
    </border>
    <border>
      <left style="thin">
        <color rgb="FFEFEFEF"/>
      </left>
      <right style="thin">
        <color rgb="FFEFEFEF"/>
      </right>
    </border>
    <border>
      <left style="thin">
        <color rgb="FFEFEFEF"/>
      </left>
    </border>
    <border>
      <right style="thin">
        <color rgb="FFEFEFEF"/>
      </right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vertical="center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center"/>
    </xf>
    <xf borderId="0" fillId="2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Font="1"/>
    <xf borderId="0" fillId="3" fontId="3" numFmtId="0" xfId="0" applyFill="1" applyFont="1"/>
    <xf borderId="0" fillId="3" fontId="4" numFmtId="0" xfId="0" applyFont="1"/>
    <xf borderId="0" fillId="3" fontId="4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4" fontId="5" numFmtId="0" xfId="0" applyAlignment="1" applyFill="1" applyFont="1">
      <alignment vertical="center"/>
    </xf>
    <xf borderId="1" fillId="5" fontId="5" numFmtId="0" xfId="0" applyAlignment="1" applyBorder="1" applyFill="1" applyFont="1">
      <alignment readingOrder="0" vertical="center"/>
    </xf>
    <xf borderId="2" fillId="0" fontId="6" numFmtId="0" xfId="0" applyBorder="1" applyFont="1"/>
    <xf borderId="0" fillId="6" fontId="5" numFmtId="0" xfId="0" applyAlignment="1" applyFill="1" applyFont="1">
      <alignment shrinkToFit="0" vertical="center" wrapText="1"/>
    </xf>
    <xf borderId="1" fillId="0" fontId="7" numFmtId="164" xfId="0" applyAlignment="1" applyBorder="1" applyFont="1" applyNumberFormat="1">
      <alignment horizontal="center" readingOrder="0" vertical="center"/>
    </xf>
    <xf borderId="3" fillId="0" fontId="6" numFmtId="0" xfId="0" applyBorder="1" applyFont="1"/>
    <xf borderId="0" fillId="0" fontId="4" numFmtId="164" xfId="0" applyFont="1" applyNumberFormat="1"/>
    <xf borderId="0" fillId="4" fontId="5" numFmtId="0" xfId="0" applyAlignment="1" applyFont="1">
      <alignment vertical="center"/>
    </xf>
    <xf borderId="1" fillId="0" fontId="7" numFmtId="0" xfId="0" applyAlignment="1" applyBorder="1" applyFont="1">
      <alignment readingOrder="0" vertical="center"/>
    </xf>
    <xf borderId="0" fillId="6" fontId="5" numFmtId="0" xfId="0" applyAlignment="1" applyFont="1">
      <alignment shrinkToFit="0" vertical="center" wrapText="1"/>
    </xf>
    <xf borderId="0" fillId="0" fontId="8" numFmtId="0" xfId="0" applyAlignment="1" applyFont="1">
      <alignment readingOrder="0"/>
    </xf>
    <xf borderId="0" fillId="6" fontId="9" numFmtId="0" xfId="0" applyAlignment="1" applyFont="1">
      <alignment horizontal="center" readingOrder="0" shrinkToFit="0" vertical="center" wrapText="1"/>
    </xf>
    <xf borderId="0" fillId="7" fontId="5" numFmtId="0" xfId="0" applyAlignment="1" applyFill="1" applyFont="1">
      <alignment horizontal="left" readingOrder="0" shrinkToFit="0" vertical="center" wrapText="1"/>
    </xf>
    <xf borderId="0" fillId="8" fontId="3" numFmtId="0" xfId="0" applyAlignment="1" applyFill="1" applyFont="1">
      <alignment horizontal="center" readingOrder="0" shrinkToFit="0" vertical="bottom" wrapText="1"/>
    </xf>
    <xf borderId="4" fillId="0" fontId="6" numFmtId="0" xfId="0" applyBorder="1" applyFont="1"/>
    <xf borderId="0" fillId="8" fontId="3" numFmtId="0" xfId="0" applyAlignment="1" applyFont="1">
      <alignment horizontal="center" shrinkToFit="0" wrapText="1"/>
    </xf>
    <xf borderId="0" fillId="9" fontId="10" numFmtId="0" xfId="0" applyAlignment="1" applyFill="1" applyFont="1">
      <alignment horizontal="center"/>
    </xf>
    <xf borderId="0" fillId="10" fontId="10" numFmtId="0" xfId="0" applyAlignment="1" applyFill="1" applyFont="1">
      <alignment horizontal="center"/>
    </xf>
    <xf borderId="0" fillId="11" fontId="10" numFmtId="0" xfId="0" applyAlignment="1" applyFill="1" applyFont="1">
      <alignment horizontal="center" readingOrder="0" shrinkToFit="0" vertical="center" wrapText="1"/>
    </xf>
    <xf borderId="0" fillId="11" fontId="10" numFmtId="0" xfId="0" applyAlignment="1" applyFont="1">
      <alignment horizontal="center" shrinkToFit="0" vertical="center" wrapText="1"/>
    </xf>
    <xf borderId="0" fillId="12" fontId="10" numFmtId="0" xfId="0" applyAlignment="1" applyFill="1" applyFont="1">
      <alignment horizontal="center" readingOrder="0" shrinkToFit="0" vertical="center" wrapText="1"/>
    </xf>
    <xf borderId="0" fillId="13" fontId="10" numFmtId="0" xfId="0" applyAlignment="1" applyFill="1" applyFont="1">
      <alignment horizontal="center" readingOrder="0" shrinkToFit="0" vertical="center" wrapText="1"/>
    </xf>
    <xf borderId="0" fillId="13" fontId="10" numFmtId="0" xfId="0" applyAlignment="1" applyFont="1">
      <alignment horizontal="center" shrinkToFit="0" vertical="center" wrapText="1"/>
    </xf>
    <xf borderId="0" fillId="14" fontId="11" numFmtId="164" xfId="0" applyAlignment="1" applyFill="1" applyFont="1" applyNumberFormat="1">
      <alignment horizontal="center" readingOrder="0" vertical="center"/>
    </xf>
    <xf borderId="0" fillId="15" fontId="11" numFmtId="164" xfId="0" applyAlignment="1" applyFill="1" applyFont="1" applyNumberFormat="1">
      <alignment horizontal="center" readingOrder="0" vertical="center"/>
    </xf>
    <xf borderId="0" fillId="16" fontId="11" numFmtId="164" xfId="0" applyAlignment="1" applyFill="1" applyFont="1" applyNumberFormat="1">
      <alignment horizontal="center" readingOrder="0" vertical="center"/>
    </xf>
    <xf borderId="0" fillId="17" fontId="12" numFmtId="165" xfId="0" applyAlignment="1" applyFill="1" applyFont="1" applyNumberFormat="1">
      <alignment horizontal="center" readingOrder="0" vertical="center"/>
    </xf>
    <xf borderId="4" fillId="17" fontId="12" numFmtId="165" xfId="0" applyAlignment="1" applyBorder="1" applyFont="1" applyNumberFormat="1">
      <alignment horizontal="center" readingOrder="0" vertical="center"/>
    </xf>
    <xf borderId="0" fillId="18" fontId="12" numFmtId="165" xfId="0" applyAlignment="1" applyFill="1" applyFont="1" applyNumberFormat="1">
      <alignment horizontal="center" readingOrder="0" vertical="center"/>
    </xf>
    <xf borderId="4" fillId="18" fontId="12" numFmtId="165" xfId="0" applyAlignment="1" applyBorder="1" applyFont="1" applyNumberFormat="1">
      <alignment horizontal="center" readingOrder="0" vertical="center"/>
    </xf>
    <xf borderId="0" fillId="19" fontId="12" numFmtId="165" xfId="0" applyAlignment="1" applyFill="1" applyFont="1" applyNumberFormat="1">
      <alignment horizontal="center" readingOrder="0" vertical="center"/>
    </xf>
    <xf borderId="4" fillId="19" fontId="12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20" fontId="5" numFmtId="0" xfId="0" applyAlignment="1" applyFill="1" applyFont="1">
      <alignment horizontal="center" readingOrder="0"/>
    </xf>
    <xf borderId="0" fillId="20" fontId="5" numFmtId="0" xfId="0" applyAlignment="1" applyFont="1">
      <alignment readingOrder="0" shrinkToFit="0" wrapText="1"/>
    </xf>
    <xf borderId="0" fillId="20" fontId="7" numFmtId="0" xfId="0" applyAlignment="1" applyFont="1">
      <alignment shrinkToFit="0" vertical="center" wrapText="1"/>
    </xf>
    <xf borderId="0" fillId="20" fontId="7" numFmtId="0" xfId="0" applyFont="1"/>
    <xf borderId="0" fillId="20" fontId="5" numFmtId="0" xfId="0" applyAlignment="1" applyFont="1">
      <alignment horizontal="center"/>
    </xf>
    <xf borderId="0" fillId="20" fontId="1" numFmtId="0" xfId="0" applyFont="1"/>
    <xf borderId="0" fillId="20" fontId="1" numFmtId="0" xfId="0" applyAlignment="1" applyFont="1">
      <alignment readingOrder="0"/>
    </xf>
    <xf borderId="0" fillId="21" fontId="1" numFmtId="0" xfId="0" applyAlignment="1" applyFill="1" applyFont="1">
      <alignment vertical="center"/>
    </xf>
    <xf borderId="5" fillId="0" fontId="7" numFmtId="0" xfId="0" applyAlignment="1" applyBorder="1" applyFont="1">
      <alignment horizontal="right" readingOrder="0" vertical="center"/>
    </xf>
    <xf borderId="6" fillId="0" fontId="7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5" fillId="0" fontId="7" numFmtId="0" xfId="0" applyAlignment="1" applyBorder="1" applyFont="1">
      <alignment horizontal="center" readingOrder="0" vertical="center"/>
    </xf>
    <xf borderId="5" fillId="0" fontId="7" numFmtId="166" xfId="0" applyAlignment="1" applyBorder="1" applyFont="1" applyNumberForma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5" fillId="22" fontId="7" numFmtId="10" xfId="0" applyAlignment="1" applyBorder="1" applyFill="1" applyFont="1" applyNumberForma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right" readingOrder="0" vertical="center"/>
    </xf>
    <xf borderId="8" fillId="0" fontId="7" numFmtId="0" xfId="0" applyAlignment="1" applyBorder="1" applyFont="1">
      <alignment readingOrder="0" shrinkToFit="0" vertical="center" wrapText="1"/>
    </xf>
    <xf borderId="9" fillId="0" fontId="6" numFmtId="0" xfId="0" applyBorder="1" applyFont="1"/>
    <xf borderId="11" fillId="0" fontId="7" numFmtId="166" xfId="0" applyAlignment="1" applyBorder="1" applyFont="1" applyNumberForma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11" fillId="22" fontId="7" numFmtId="10" xfId="0" applyAlignment="1" applyBorder="1" applyFont="1" applyNumberFormat="1">
      <alignment horizontal="center" readingOrder="0" shrinkToFit="0" vertical="center" wrapText="1"/>
    </xf>
    <xf borderId="12" fillId="0" fontId="13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6" fillId="0" fontId="5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5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shrinkToFit="0" vertical="center" wrapText="1"/>
    </xf>
    <xf borderId="10" fillId="23" fontId="1" numFmtId="0" xfId="0" applyAlignment="1" applyBorder="1" applyFill="1" applyFont="1">
      <alignment horizontal="center" vertical="center"/>
    </xf>
    <xf borderId="10" fillId="23" fontId="14" numFmtId="0" xfId="0" applyAlignment="1" applyBorder="1" applyFont="1">
      <alignment horizontal="center" vertical="center"/>
    </xf>
    <xf borderId="7" fillId="23" fontId="1" numFmtId="0" xfId="0" applyAlignment="1" applyBorder="1" applyFont="1">
      <alignment horizontal="center" vertical="center"/>
    </xf>
    <xf borderId="5" fillId="24" fontId="7" numFmtId="0" xfId="0" applyAlignment="1" applyBorder="1" applyFill="1" applyFont="1">
      <alignment horizontal="center" vertical="center"/>
    </xf>
    <xf borderId="6" fillId="24" fontId="7" numFmtId="0" xfId="0" applyAlignment="1" applyBorder="1" applyFont="1">
      <alignment readingOrder="0" shrinkToFit="0" vertical="center" wrapText="1"/>
    </xf>
    <xf borderId="5" fillId="24" fontId="7" numFmtId="0" xfId="0" applyAlignment="1" applyBorder="1" applyFont="1">
      <alignment horizontal="center" readingOrder="0" vertical="center"/>
    </xf>
    <xf borderId="5" fillId="24" fontId="7" numFmtId="166" xfId="0" applyAlignment="1" applyBorder="1" applyFont="1" applyNumberFormat="1">
      <alignment horizontal="center" readingOrder="0" vertical="center"/>
    </xf>
    <xf borderId="5" fillId="24" fontId="7" numFmtId="0" xfId="0" applyAlignment="1" applyBorder="1" applyFont="1">
      <alignment horizontal="center" vertical="center"/>
    </xf>
    <xf borderId="6" fillId="0" fontId="15" numFmtId="0" xfId="0" applyAlignment="1" applyBorder="1" applyFont="1">
      <alignment readingOrder="0" shrinkToFit="0" vertical="center" wrapText="1"/>
    </xf>
    <xf borderId="1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6" fillId="24" fontId="7" numFmtId="0" xfId="0" applyAlignment="1" applyBorder="1" applyFont="1">
      <alignment readingOrder="0" shrinkToFit="0" vertical="center" wrapText="1"/>
    </xf>
    <xf borderId="16" fillId="0" fontId="4" numFmtId="10" xfId="0" applyAlignment="1" applyBorder="1" applyFont="1" applyNumberFormat="1">
      <alignment vertical="center"/>
    </xf>
    <xf borderId="17" fillId="0" fontId="4" numFmtId="10" xfId="0" applyAlignment="1" applyBorder="1" applyFont="1" applyNumberFormat="1">
      <alignment vertical="center"/>
    </xf>
    <xf borderId="0" fillId="20" fontId="5" numFmtId="0" xfId="0" applyAlignment="1" applyFont="1">
      <alignment horizontal="center" readingOrder="0" vertical="center"/>
    </xf>
    <xf borderId="0" fillId="20" fontId="5" numFmtId="0" xfId="0" applyAlignment="1" applyFont="1">
      <alignment readingOrder="0" shrinkToFit="0" vertical="center" wrapText="1"/>
    </xf>
    <xf borderId="0" fillId="20" fontId="7" numFmtId="0" xfId="0" applyAlignment="1" applyFont="1">
      <alignment vertical="center"/>
    </xf>
    <xf borderId="0" fillId="20" fontId="7" numFmtId="166" xfId="0" applyAlignment="1" applyFont="1" applyNumberFormat="1">
      <alignment vertical="center"/>
    </xf>
    <xf borderId="0" fillId="20" fontId="5" numFmtId="0" xfId="0" applyAlignment="1" applyFont="1">
      <alignment horizontal="center" vertical="center"/>
    </xf>
    <xf borderId="0" fillId="20" fontId="1" numFmtId="0" xfId="0" applyAlignment="1" applyFont="1">
      <alignment vertical="center"/>
    </xf>
    <xf borderId="5" fillId="0" fontId="7" numFmtId="10" xfId="0" applyAlignment="1" applyBorder="1" applyFont="1" applyNumberFormat="1">
      <alignment horizontal="center" readingOrder="0" shrinkToFit="0" vertical="center" wrapText="1"/>
    </xf>
    <xf borderId="12" fillId="0" fontId="13" numFmtId="10" xfId="0" applyAlignment="1" applyBorder="1" applyFont="1" applyNumberFormat="1">
      <alignment horizontal="center" readingOrder="0" shrinkToFit="0" vertical="center" wrapText="1"/>
    </xf>
    <xf borderId="13" fillId="0" fontId="13" numFmtId="10" xfId="0" applyAlignment="1" applyBorder="1" applyFont="1" applyNumberFormat="1">
      <alignment horizontal="center" readingOrder="0" shrinkToFit="0" vertical="center" wrapText="1"/>
    </xf>
    <xf borderId="5" fillId="24" fontId="7" numFmtId="0" xfId="0" applyAlignment="1" applyBorder="1" applyFont="1">
      <alignment horizontal="right" readingOrder="0" vertical="center"/>
    </xf>
    <xf borderId="8" fillId="0" fontId="15" numFmtId="0" xfId="0" applyAlignment="1" applyBorder="1" applyFont="1">
      <alignment readingOrder="0" shrinkToFit="0" vertical="center" wrapText="1"/>
    </xf>
    <xf borderId="11" fillId="0" fontId="7" numFmtId="10" xfId="0" applyAlignment="1" applyBorder="1" applyFont="1" applyNumberFormat="1">
      <alignment horizontal="center" readingOrder="0" shrinkToFit="0" vertical="center" wrapText="1"/>
    </xf>
    <xf borderId="14" fillId="23" fontId="1" numFmtId="0" xfId="0" applyAlignment="1" applyBorder="1" applyFont="1">
      <alignment horizontal="center" vertical="center"/>
    </xf>
    <xf borderId="5" fillId="0" fontId="15" numFmtId="10" xfId="0" applyAlignment="1" applyBorder="1" applyFont="1" applyNumberFormat="1">
      <alignment horizontal="center" readingOrder="0" shrinkToFit="0" vertical="center" wrapText="1"/>
    </xf>
    <xf borderId="5" fillId="25" fontId="7" numFmtId="10" xfId="0" applyAlignment="1" applyBorder="1" applyFill="1" applyFont="1" applyNumberFormat="1">
      <alignment horizontal="center" readingOrder="0" shrinkToFit="0" vertical="center" wrapText="1"/>
    </xf>
    <xf borderId="16" fillId="21" fontId="4" numFmtId="10" xfId="0" applyAlignment="1" applyBorder="1" applyFont="1" applyNumberFormat="1">
      <alignment vertical="center"/>
    </xf>
    <xf borderId="17" fillId="21" fontId="4" numFmtId="10" xfId="0" applyAlignment="1" applyBorder="1" applyFont="1" applyNumberFormat="1">
      <alignment vertical="center"/>
    </xf>
    <xf borderId="11" fillId="25" fontId="7" numFmtId="10" xfId="0" applyAlignment="1" applyBorder="1" applyFont="1" applyNumberFormat="1">
      <alignment horizontal="center" readingOrder="0" shrinkToFit="0" vertical="center" wrapText="1"/>
    </xf>
    <xf borderId="9" fillId="23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1" fillId="0" fontId="15" numFmtId="10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16" fillId="0" fontId="13" numFmtId="10" xfId="0" applyAlignment="1" applyBorder="1" applyFont="1" applyNumberFormat="1">
      <alignment horizontal="center" readingOrder="0" shrinkToFit="0" vertical="center" wrapText="1"/>
    </xf>
    <xf borderId="17" fillId="0" fontId="13" numFmtId="10" xfId="0" applyAlignment="1" applyBorder="1" applyFont="1" applyNumberFormat="1">
      <alignment horizontal="center" readingOrder="0" shrinkToFit="0" vertical="center" wrapText="1"/>
    </xf>
    <xf borderId="19" fillId="20" fontId="5" numFmtId="0" xfId="0" applyAlignment="1" applyBorder="1" applyFont="1">
      <alignment horizontal="center" readingOrder="0" vertical="center"/>
    </xf>
    <xf borderId="20" fillId="20" fontId="5" numFmtId="0" xfId="0" applyAlignment="1" applyBorder="1" applyFont="1">
      <alignment readingOrder="0" shrinkToFit="0" vertical="center" wrapText="1"/>
    </xf>
    <xf borderId="21" fillId="0" fontId="6" numFmtId="0" xfId="0" applyBorder="1" applyFont="1"/>
    <xf borderId="19" fillId="20" fontId="7" numFmtId="0" xfId="0" applyAlignment="1" applyBorder="1" applyFont="1">
      <alignment shrinkToFit="0" vertical="center" wrapText="1"/>
    </xf>
    <xf borderId="19" fillId="20" fontId="7" numFmtId="0" xfId="0" applyAlignment="1" applyBorder="1" applyFont="1">
      <alignment vertical="center"/>
    </xf>
    <xf borderId="19" fillId="20" fontId="7" numFmtId="166" xfId="0" applyAlignment="1" applyBorder="1" applyFont="1" applyNumberFormat="1">
      <alignment vertical="center"/>
    </xf>
    <xf borderId="19" fillId="20" fontId="5" numFmtId="0" xfId="0" applyAlignment="1" applyBorder="1" applyFont="1">
      <alignment horizontal="center" vertical="center"/>
    </xf>
    <xf borderId="0" fillId="20" fontId="7" numFmtId="0" xfId="0" applyAlignment="1" applyFont="1">
      <alignment readingOrder="0" vertical="center"/>
    </xf>
    <xf borderId="8" fillId="0" fontId="13" numFmtId="10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readingOrder="0" vertical="center"/>
    </xf>
    <xf borderId="12" fillId="0" fontId="6" numFmtId="0" xfId="0" applyBorder="1" applyFont="1"/>
    <xf borderId="13" fillId="0" fontId="6" numFmtId="0" xfId="0" applyBorder="1" applyFont="1"/>
    <xf borderId="6" fillId="0" fontId="7" numFmtId="0" xfId="0" applyAlignment="1" applyBorder="1" applyFont="1">
      <alignment readingOrder="0" vertical="center"/>
    </xf>
    <xf borderId="20" fillId="20" fontId="5" numFmtId="0" xfId="0" applyAlignment="1" applyBorder="1" applyFont="1">
      <alignment readingOrder="0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9" fillId="0" fontId="13" numFmtId="10" xfId="0" applyAlignment="1" applyBorder="1" applyFont="1" applyNumberFormat="1">
      <alignment horizontal="center" readingOrder="0" shrinkToFit="0" vertical="center" wrapText="1"/>
    </xf>
    <xf borderId="0" fillId="0" fontId="7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133350</xdr:rowOff>
    </xdr:from>
    <xdr:ext cx="4114800" cy="1457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3" max="3" width="16.38"/>
    <col customWidth="1" min="4" max="4" width="37.13"/>
    <col customWidth="1" min="5" max="5" width="33.13"/>
    <col customWidth="1" min="6" max="6" width="38.25"/>
    <col customWidth="1" min="7" max="7" width="20.13"/>
    <col customWidth="1" min="9" max="9" width="15.13"/>
    <col customWidth="1" min="12" max="12" width="3.25"/>
    <col customWidth="1" min="14" max="74" width="6.38"/>
  </cols>
  <sheetData>
    <row r="1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ht="113.25" customHeight="1">
      <c r="A2" s="1"/>
      <c r="L2" s="1"/>
      <c r="M2" s="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</row>
    <row r="3">
      <c r="A3" s="1"/>
      <c r="B3" s="1"/>
      <c r="C3" s="1"/>
      <c r="D3" s="1"/>
      <c r="E3" s="2"/>
      <c r="F3" s="2"/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</row>
    <row r="4" ht="21.0" customHeight="1">
      <c r="A4" s="4"/>
      <c r="B4" s="5" t="s">
        <v>0</v>
      </c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</row>
    <row r="5" ht="21.0" customHeight="1">
      <c r="A5" s="4"/>
      <c r="B5" s="9" t="s">
        <v>1</v>
      </c>
      <c r="L5" s="6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</row>
    <row r="6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</row>
    <row r="7">
      <c r="A7" s="13" t="s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</row>
    <row r="8" ht="19.5" customHeight="1">
      <c r="A8" s="16"/>
      <c r="B8" s="17"/>
      <c r="L8" s="18"/>
      <c r="M8" s="1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</row>
    <row r="9" ht="18.75" customHeight="1">
      <c r="A9" s="16"/>
      <c r="B9" s="19" t="s">
        <v>3</v>
      </c>
      <c r="D9" s="20" t="s">
        <v>4</v>
      </c>
      <c r="E9" s="21"/>
      <c r="F9" s="22" t="s">
        <v>5</v>
      </c>
      <c r="G9" s="23">
        <v>45897.0</v>
      </c>
      <c r="H9" s="24"/>
      <c r="I9" s="24"/>
      <c r="J9" s="24"/>
      <c r="K9" s="21"/>
      <c r="L9" s="25"/>
      <c r="M9" s="25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</row>
    <row r="10">
      <c r="A10" s="16"/>
      <c r="B10" s="26" t="s">
        <v>6</v>
      </c>
      <c r="D10" s="27" t="s">
        <v>7</v>
      </c>
      <c r="E10" s="21"/>
      <c r="F10" s="28" t="s">
        <v>8</v>
      </c>
      <c r="G10" s="23">
        <v>45971.0</v>
      </c>
      <c r="H10" s="24"/>
      <c r="I10" s="24"/>
      <c r="J10" s="24"/>
      <c r="K10" s="21"/>
      <c r="L10" s="25"/>
      <c r="M10" s="25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</row>
    <row r="11">
      <c r="A11" s="16"/>
      <c r="B11" s="17"/>
      <c r="C11" s="17"/>
      <c r="D11" s="17"/>
      <c r="E11" s="11"/>
      <c r="F11" s="11"/>
      <c r="G11" s="17"/>
      <c r="H11" s="17"/>
      <c r="I11" s="17"/>
      <c r="J11" s="17"/>
      <c r="K11" s="17"/>
      <c r="L11" s="17"/>
      <c r="M11" s="17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</row>
    <row r="12">
      <c r="A12" s="13" t="s">
        <v>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</row>
    <row r="13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</row>
    <row r="14">
      <c r="A14" s="1"/>
      <c r="B14" s="30" t="s">
        <v>10</v>
      </c>
      <c r="C14" s="30" t="s">
        <v>11</v>
      </c>
      <c r="E14" s="30" t="s">
        <v>12</v>
      </c>
      <c r="G14" s="30" t="s">
        <v>13</v>
      </c>
      <c r="H14" s="30" t="s">
        <v>14</v>
      </c>
      <c r="I14" s="30" t="s">
        <v>15</v>
      </c>
      <c r="J14" s="30" t="s">
        <v>16</v>
      </c>
      <c r="K14" s="30" t="s">
        <v>17</v>
      </c>
      <c r="L14" s="31"/>
      <c r="M14" s="31" t="s">
        <v>18</v>
      </c>
      <c r="N14" s="32" t="s">
        <v>19</v>
      </c>
      <c r="R14" s="33"/>
      <c r="S14" s="34" t="s">
        <v>20</v>
      </c>
      <c r="W14" s="33"/>
      <c r="X14" s="34" t="s">
        <v>21</v>
      </c>
      <c r="AB14" s="33"/>
      <c r="AC14" s="34" t="s">
        <v>22</v>
      </c>
      <c r="AG14" s="33"/>
      <c r="AH14" s="34" t="s">
        <v>23</v>
      </c>
      <c r="AL14" s="33"/>
      <c r="AM14" s="34" t="s">
        <v>24</v>
      </c>
      <c r="AQ14" s="33"/>
      <c r="AR14" s="34" t="s">
        <v>25</v>
      </c>
      <c r="AV14" s="33"/>
      <c r="AW14" s="35" t="s">
        <v>26</v>
      </c>
      <c r="BA14" s="33"/>
      <c r="BB14" s="35" t="s">
        <v>27</v>
      </c>
      <c r="BF14" s="33"/>
      <c r="BG14" s="35" t="s">
        <v>28</v>
      </c>
      <c r="BK14" s="33"/>
      <c r="BL14" s="36" t="s">
        <v>29</v>
      </c>
      <c r="BP14" s="33"/>
      <c r="BQ14" s="36" t="s">
        <v>30</v>
      </c>
      <c r="BV14" s="33"/>
    </row>
    <row r="15">
      <c r="L15" s="31"/>
      <c r="M15" s="31" t="s">
        <v>31</v>
      </c>
      <c r="N15" s="37" t="s">
        <v>32</v>
      </c>
      <c r="R15" s="33"/>
      <c r="S15" s="38" t="s">
        <v>33</v>
      </c>
      <c r="W15" s="33"/>
      <c r="X15" s="37" t="s">
        <v>34</v>
      </c>
      <c r="AB15" s="33"/>
      <c r="AC15" s="37" t="s">
        <v>35</v>
      </c>
      <c r="AG15" s="33"/>
      <c r="AH15" s="37" t="s">
        <v>36</v>
      </c>
      <c r="AL15" s="33"/>
      <c r="AM15" s="37" t="s">
        <v>37</v>
      </c>
      <c r="AQ15" s="33"/>
      <c r="AR15" s="38" t="s">
        <v>38</v>
      </c>
      <c r="AV15" s="33"/>
      <c r="AW15" s="39" t="s">
        <v>39</v>
      </c>
      <c r="BA15" s="33"/>
      <c r="BB15" s="39" t="s">
        <v>40</v>
      </c>
      <c r="BF15" s="33"/>
      <c r="BG15" s="39" t="s">
        <v>41</v>
      </c>
      <c r="BK15" s="33"/>
      <c r="BL15" s="40" t="s">
        <v>42</v>
      </c>
      <c r="BP15" s="33"/>
      <c r="BQ15" s="41" t="s">
        <v>43</v>
      </c>
      <c r="BV15" s="33"/>
    </row>
    <row r="16">
      <c r="L16" s="31"/>
      <c r="M16" s="31" t="s">
        <v>14</v>
      </c>
      <c r="N16" s="42">
        <v>45896.0</v>
      </c>
      <c r="R16" s="33"/>
      <c r="S16" s="42">
        <v>45901.0</v>
      </c>
      <c r="W16" s="33"/>
      <c r="X16" s="42">
        <v>45908.0</v>
      </c>
      <c r="AB16" s="33"/>
      <c r="AC16" s="42">
        <v>45915.0</v>
      </c>
      <c r="AG16" s="33"/>
      <c r="AH16" s="42">
        <v>45922.0</v>
      </c>
      <c r="AL16" s="33"/>
      <c r="AM16" s="42">
        <v>45929.0</v>
      </c>
      <c r="AQ16" s="33"/>
      <c r="AR16" s="42">
        <v>45936.0</v>
      </c>
      <c r="AV16" s="33"/>
      <c r="AW16" s="43">
        <v>45943.0</v>
      </c>
      <c r="BA16" s="33"/>
      <c r="BB16" s="43">
        <v>45950.0</v>
      </c>
      <c r="BF16" s="33"/>
      <c r="BG16" s="43">
        <v>45957.0</v>
      </c>
      <c r="BK16" s="33"/>
      <c r="BL16" s="44">
        <v>45964.0</v>
      </c>
      <c r="BP16" s="33"/>
      <c r="BQ16" s="44">
        <v>45971.0</v>
      </c>
      <c r="BV16" s="33"/>
    </row>
    <row r="17">
      <c r="L17" s="31"/>
      <c r="M17" s="31" t="s">
        <v>44</v>
      </c>
      <c r="N17" s="45">
        <f>N16</f>
        <v>45896</v>
      </c>
      <c r="O17" s="45">
        <f t="shared" ref="O17:R17" si="1">N17+1</f>
        <v>45897</v>
      </c>
      <c r="P17" s="45">
        <f t="shared" si="1"/>
        <v>45898</v>
      </c>
      <c r="Q17" s="45">
        <f t="shared" si="1"/>
        <v>45899</v>
      </c>
      <c r="R17" s="46">
        <f t="shared" si="1"/>
        <v>45900</v>
      </c>
      <c r="S17" s="45">
        <f>S16</f>
        <v>45901</v>
      </c>
      <c r="T17" s="45">
        <f t="shared" ref="T17:W17" si="2">S17+1</f>
        <v>45902</v>
      </c>
      <c r="U17" s="45">
        <f t="shared" si="2"/>
        <v>45903</v>
      </c>
      <c r="V17" s="45">
        <f t="shared" si="2"/>
        <v>45904</v>
      </c>
      <c r="W17" s="46">
        <f t="shared" si="2"/>
        <v>45905</v>
      </c>
      <c r="X17" s="45">
        <f>X16</f>
        <v>45908</v>
      </c>
      <c r="Y17" s="45">
        <f t="shared" ref="Y17:AB17" si="3">X17+1</f>
        <v>45909</v>
      </c>
      <c r="Z17" s="45">
        <f t="shared" si="3"/>
        <v>45910</v>
      </c>
      <c r="AA17" s="45">
        <f t="shared" si="3"/>
        <v>45911</v>
      </c>
      <c r="AB17" s="46">
        <f t="shared" si="3"/>
        <v>45912</v>
      </c>
      <c r="AC17" s="45">
        <f>AC16</f>
        <v>45915</v>
      </c>
      <c r="AD17" s="45">
        <f t="shared" ref="AD17:AG17" si="4">AC17+1</f>
        <v>45916</v>
      </c>
      <c r="AE17" s="45">
        <f t="shared" si="4"/>
        <v>45917</v>
      </c>
      <c r="AF17" s="45">
        <f t="shared" si="4"/>
        <v>45918</v>
      </c>
      <c r="AG17" s="46">
        <f t="shared" si="4"/>
        <v>45919</v>
      </c>
      <c r="AH17" s="45">
        <f>AH16</f>
        <v>45922</v>
      </c>
      <c r="AI17" s="45">
        <f t="shared" ref="AI17:AL17" si="5">AH17+1</f>
        <v>45923</v>
      </c>
      <c r="AJ17" s="45">
        <f t="shared" si="5"/>
        <v>45924</v>
      </c>
      <c r="AK17" s="45">
        <f t="shared" si="5"/>
        <v>45925</v>
      </c>
      <c r="AL17" s="46">
        <f t="shared" si="5"/>
        <v>45926</v>
      </c>
      <c r="AM17" s="45">
        <f>AM16</f>
        <v>45929</v>
      </c>
      <c r="AN17" s="45">
        <f t="shared" ref="AN17:AQ17" si="6">AM17+1</f>
        <v>45930</v>
      </c>
      <c r="AO17" s="45">
        <f t="shared" si="6"/>
        <v>45931</v>
      </c>
      <c r="AP17" s="45">
        <f t="shared" si="6"/>
        <v>45932</v>
      </c>
      <c r="AQ17" s="46">
        <f t="shared" si="6"/>
        <v>45933</v>
      </c>
      <c r="AR17" s="45">
        <f>AR16</f>
        <v>45936</v>
      </c>
      <c r="AS17" s="45">
        <f t="shared" ref="AS17:AV17" si="7">AR17+1</f>
        <v>45937</v>
      </c>
      <c r="AT17" s="45">
        <f t="shared" si="7"/>
        <v>45938</v>
      </c>
      <c r="AU17" s="45">
        <f t="shared" si="7"/>
        <v>45939</v>
      </c>
      <c r="AV17" s="46">
        <f t="shared" si="7"/>
        <v>45940</v>
      </c>
      <c r="AW17" s="47">
        <f>AW16</f>
        <v>45943</v>
      </c>
      <c r="AX17" s="47">
        <f t="shared" ref="AX17:BA17" si="8">AW17+1</f>
        <v>45944</v>
      </c>
      <c r="AY17" s="47">
        <f t="shared" si="8"/>
        <v>45945</v>
      </c>
      <c r="AZ17" s="47">
        <f t="shared" si="8"/>
        <v>45946</v>
      </c>
      <c r="BA17" s="48">
        <f t="shared" si="8"/>
        <v>45947</v>
      </c>
      <c r="BB17" s="47">
        <f>BB16</f>
        <v>45950</v>
      </c>
      <c r="BC17" s="47">
        <f t="shared" ref="BC17:BF17" si="9">BB17+1</f>
        <v>45951</v>
      </c>
      <c r="BD17" s="47">
        <f t="shared" si="9"/>
        <v>45952</v>
      </c>
      <c r="BE17" s="47">
        <f t="shared" si="9"/>
        <v>45953</v>
      </c>
      <c r="BF17" s="48">
        <f t="shared" si="9"/>
        <v>45954</v>
      </c>
      <c r="BG17" s="47">
        <f>BG16</f>
        <v>45957</v>
      </c>
      <c r="BH17" s="47">
        <f t="shared" ref="BH17:BK17" si="10">BG17+1</f>
        <v>45958</v>
      </c>
      <c r="BI17" s="47">
        <f t="shared" si="10"/>
        <v>45959</v>
      </c>
      <c r="BJ17" s="47">
        <f t="shared" si="10"/>
        <v>45960</v>
      </c>
      <c r="BK17" s="48">
        <f t="shared" si="10"/>
        <v>45961</v>
      </c>
      <c r="BL17" s="49">
        <f>BL16</f>
        <v>45964</v>
      </c>
      <c r="BM17" s="49">
        <f t="shared" ref="BM17:BP17" si="11">BL17+1</f>
        <v>45965</v>
      </c>
      <c r="BN17" s="49">
        <f t="shared" si="11"/>
        <v>45966</v>
      </c>
      <c r="BO17" s="49">
        <f t="shared" si="11"/>
        <v>45967</v>
      </c>
      <c r="BP17" s="50">
        <f t="shared" si="11"/>
        <v>45968</v>
      </c>
      <c r="BQ17" s="49">
        <f>BQ16</f>
        <v>45971</v>
      </c>
      <c r="BR17" s="49">
        <f t="shared" ref="BR17:BU17" si="12">BQ17+1</f>
        <v>45972</v>
      </c>
      <c r="BS17" s="49">
        <f t="shared" si="12"/>
        <v>45973</v>
      </c>
      <c r="BT17" s="49">
        <f t="shared" si="12"/>
        <v>45974</v>
      </c>
      <c r="BU17" s="50">
        <f t="shared" si="12"/>
        <v>45975</v>
      </c>
      <c r="BV17" s="49">
        <f>BU17+3</f>
        <v>45978</v>
      </c>
    </row>
    <row r="18">
      <c r="A18" s="51"/>
      <c r="B18" s="52" t="s">
        <v>45</v>
      </c>
      <c r="C18" s="53" t="s">
        <v>32</v>
      </c>
      <c r="E18" s="54"/>
      <c r="F18" s="54"/>
      <c r="G18" s="55"/>
      <c r="H18" s="55"/>
      <c r="I18" s="55"/>
      <c r="J18" s="56"/>
      <c r="K18" s="55"/>
      <c r="L18" s="57"/>
      <c r="M18" s="57"/>
      <c r="N18" s="58"/>
      <c r="O18" s="57"/>
      <c r="P18" s="1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</row>
    <row r="19">
      <c r="A19" s="59"/>
      <c r="B19" s="60" t="s">
        <v>46</v>
      </c>
      <c r="C19" s="61" t="s">
        <v>47</v>
      </c>
      <c r="D19" s="62"/>
      <c r="E19" s="61" t="s">
        <v>48</v>
      </c>
      <c r="F19" s="62"/>
      <c r="G19" s="63" t="s">
        <v>49</v>
      </c>
      <c r="H19" s="64">
        <v>45897.0</v>
      </c>
      <c r="I19" s="64">
        <v>45900.0</v>
      </c>
      <c r="J19" s="65">
        <f t="shared" ref="J19:J20" si="13">days(I19,H19)</f>
        <v>3</v>
      </c>
      <c r="K19" s="66">
        <v>1.0</v>
      </c>
      <c r="L19" s="67"/>
      <c r="M19" s="68"/>
      <c r="N19" s="69"/>
      <c r="O19" s="69"/>
      <c r="P19" s="69"/>
      <c r="Q19" s="69"/>
      <c r="R19" s="70"/>
      <c r="S19" s="71"/>
      <c r="T19" s="69"/>
      <c r="U19" s="69"/>
      <c r="V19" s="69"/>
      <c r="W19" s="70"/>
      <c r="X19" s="71"/>
      <c r="Y19" s="69"/>
      <c r="Z19" s="69"/>
      <c r="AA19" s="69"/>
      <c r="AB19" s="70"/>
      <c r="AC19" s="71"/>
      <c r="AD19" s="69"/>
      <c r="AE19" s="69"/>
      <c r="AF19" s="69"/>
      <c r="AG19" s="70"/>
      <c r="AH19" s="71"/>
      <c r="AI19" s="69"/>
      <c r="AJ19" s="69"/>
      <c r="AK19" s="69"/>
      <c r="AL19" s="70"/>
      <c r="AM19" s="71"/>
      <c r="AN19" s="69"/>
      <c r="AO19" s="69"/>
      <c r="AP19" s="69"/>
      <c r="AQ19" s="70"/>
      <c r="AR19" s="71"/>
      <c r="AS19" s="69"/>
      <c r="AT19" s="69"/>
      <c r="AU19" s="69"/>
      <c r="AV19" s="70"/>
      <c r="AW19" s="71"/>
      <c r="AX19" s="69"/>
      <c r="AY19" s="69"/>
      <c r="AZ19" s="69"/>
      <c r="BA19" s="70"/>
      <c r="BB19" s="71"/>
      <c r="BC19" s="69"/>
      <c r="BD19" s="69"/>
      <c r="BE19" s="69"/>
      <c r="BF19" s="70"/>
      <c r="BG19" s="71"/>
      <c r="BH19" s="69"/>
      <c r="BI19" s="69"/>
      <c r="BJ19" s="69"/>
      <c r="BK19" s="70"/>
      <c r="BL19" s="71"/>
      <c r="BM19" s="69"/>
      <c r="BN19" s="69"/>
      <c r="BO19" s="69"/>
      <c r="BP19" s="70"/>
      <c r="BQ19" s="71"/>
      <c r="BR19" s="69"/>
      <c r="BS19" s="69"/>
      <c r="BT19" s="69"/>
      <c r="BU19" s="70"/>
      <c r="BV19" s="69"/>
    </row>
    <row r="20">
      <c r="A20" s="59"/>
      <c r="B20" s="72" t="s">
        <v>50</v>
      </c>
      <c r="C20" s="73" t="s">
        <v>51</v>
      </c>
      <c r="D20" s="74"/>
      <c r="E20" s="73" t="s">
        <v>52</v>
      </c>
      <c r="F20" s="74"/>
      <c r="G20" s="63" t="s">
        <v>53</v>
      </c>
      <c r="H20" s="75">
        <v>45899.0</v>
      </c>
      <c r="I20" s="75">
        <v>45903.0</v>
      </c>
      <c r="J20" s="76">
        <f t="shared" si="13"/>
        <v>4</v>
      </c>
      <c r="K20" s="77">
        <v>1.0</v>
      </c>
      <c r="L20" s="78"/>
      <c r="M20" s="79"/>
      <c r="N20" s="69"/>
      <c r="O20" s="69"/>
      <c r="P20" s="69"/>
      <c r="Q20" s="80"/>
      <c r="R20" s="81"/>
      <c r="S20" s="82"/>
      <c r="T20" s="80"/>
      <c r="U20" s="80"/>
      <c r="V20" s="69"/>
      <c r="W20" s="70"/>
      <c r="X20" s="71"/>
      <c r="Y20" s="69"/>
      <c r="Z20" s="69"/>
      <c r="AA20" s="71"/>
      <c r="AB20" s="70"/>
      <c r="AC20" s="71"/>
      <c r="AD20" s="69"/>
      <c r="AE20" s="69"/>
      <c r="AF20" s="69"/>
      <c r="AG20" s="70"/>
      <c r="AH20" s="71"/>
      <c r="AI20" s="69"/>
      <c r="AJ20" s="69"/>
      <c r="AK20" s="71"/>
      <c r="AL20" s="70"/>
      <c r="AM20" s="71"/>
      <c r="AN20" s="69"/>
      <c r="AO20" s="69"/>
      <c r="AP20" s="69"/>
      <c r="AQ20" s="70"/>
      <c r="AR20" s="71"/>
      <c r="AS20" s="69"/>
      <c r="AT20" s="69"/>
      <c r="AU20" s="69"/>
      <c r="AV20" s="70"/>
      <c r="AW20" s="71"/>
      <c r="AX20" s="69"/>
      <c r="AY20" s="69"/>
      <c r="AZ20" s="69"/>
      <c r="BA20" s="70"/>
      <c r="BB20" s="71"/>
      <c r="BC20" s="69"/>
      <c r="BD20" s="69"/>
      <c r="BE20" s="69"/>
      <c r="BF20" s="70"/>
      <c r="BG20" s="71"/>
      <c r="BH20" s="69"/>
      <c r="BI20" s="69"/>
      <c r="BJ20" s="69"/>
      <c r="BK20" s="70"/>
      <c r="BL20" s="71"/>
      <c r="BM20" s="69"/>
      <c r="BN20" s="69"/>
      <c r="BO20" s="69"/>
      <c r="BP20" s="70"/>
      <c r="BQ20" s="71"/>
      <c r="BR20" s="69"/>
      <c r="BS20" s="69"/>
      <c r="BT20" s="69"/>
      <c r="BU20" s="70"/>
      <c r="BV20" s="69"/>
    </row>
    <row r="21">
      <c r="A21" s="59"/>
      <c r="B21" s="83"/>
      <c r="C21" s="84"/>
      <c r="D21" s="85"/>
      <c r="E21" s="84"/>
      <c r="F21" s="85"/>
      <c r="G21" s="63" t="s">
        <v>54</v>
      </c>
      <c r="H21" s="83"/>
      <c r="I21" s="83"/>
      <c r="J21" s="83"/>
      <c r="K21" s="83"/>
      <c r="L21" s="78"/>
      <c r="M21" s="79"/>
      <c r="N21" s="69"/>
      <c r="O21" s="69"/>
      <c r="P21" s="69"/>
      <c r="Q21" s="83"/>
      <c r="R21" s="86"/>
      <c r="S21" s="85"/>
      <c r="T21" s="83"/>
      <c r="U21" s="83"/>
      <c r="V21" s="69"/>
      <c r="W21" s="70"/>
      <c r="X21" s="71"/>
      <c r="Y21" s="69"/>
      <c r="Z21" s="69"/>
      <c r="AA21" s="71"/>
      <c r="AB21" s="70"/>
      <c r="AC21" s="71"/>
      <c r="AD21" s="69"/>
      <c r="AE21" s="69"/>
      <c r="AF21" s="69"/>
      <c r="AG21" s="70"/>
      <c r="AH21" s="71"/>
      <c r="AI21" s="69"/>
      <c r="AJ21" s="69"/>
      <c r="AK21" s="71"/>
      <c r="AL21" s="70"/>
      <c r="AM21" s="71"/>
      <c r="AN21" s="69"/>
      <c r="AO21" s="69"/>
      <c r="AP21" s="69"/>
      <c r="AQ21" s="70"/>
      <c r="AR21" s="71"/>
      <c r="AS21" s="69"/>
      <c r="AT21" s="69"/>
      <c r="AU21" s="69"/>
      <c r="AV21" s="70"/>
      <c r="AW21" s="71"/>
      <c r="AX21" s="69"/>
      <c r="AY21" s="69"/>
      <c r="AZ21" s="69"/>
      <c r="BA21" s="70"/>
      <c r="BB21" s="71"/>
      <c r="BC21" s="69"/>
      <c r="BD21" s="69"/>
      <c r="BE21" s="69"/>
      <c r="BF21" s="70"/>
      <c r="BG21" s="71"/>
      <c r="BH21" s="69"/>
      <c r="BI21" s="69"/>
      <c r="BJ21" s="69"/>
      <c r="BK21" s="70"/>
      <c r="BL21" s="71"/>
      <c r="BM21" s="69"/>
      <c r="BN21" s="69"/>
      <c r="BO21" s="69"/>
      <c r="BP21" s="70"/>
      <c r="BQ21" s="71"/>
      <c r="BR21" s="69"/>
      <c r="BS21" s="69"/>
      <c r="BT21" s="69"/>
      <c r="BU21" s="70"/>
      <c r="BV21" s="69"/>
    </row>
    <row r="22">
      <c r="A22" s="51"/>
      <c r="B22" s="60" t="s">
        <v>55</v>
      </c>
      <c r="C22" s="87" t="s">
        <v>56</v>
      </c>
      <c r="D22" s="62"/>
      <c r="E22" s="61" t="s">
        <v>57</v>
      </c>
      <c r="F22" s="62"/>
      <c r="G22" s="63" t="s">
        <v>49</v>
      </c>
      <c r="H22" s="64">
        <v>45904.0</v>
      </c>
      <c r="I22" s="64">
        <v>45904.0</v>
      </c>
      <c r="J22" s="65">
        <f t="shared" ref="J22:J23" si="14">days(I22,H22)</f>
        <v>0</v>
      </c>
      <c r="K22" s="66">
        <v>1.0</v>
      </c>
      <c r="L22" s="78"/>
      <c r="M22" s="79"/>
      <c r="N22" s="69"/>
      <c r="O22" s="69"/>
      <c r="P22" s="69"/>
      <c r="Q22" s="69"/>
      <c r="R22" s="70"/>
      <c r="S22" s="71"/>
      <c r="T22" s="69"/>
      <c r="U22" s="69"/>
      <c r="V22" s="69"/>
      <c r="W22" s="70"/>
      <c r="X22" s="71"/>
      <c r="Y22" s="69"/>
      <c r="Z22" s="69"/>
      <c r="AA22" s="69"/>
      <c r="AB22" s="70"/>
      <c r="AC22" s="71"/>
      <c r="AD22" s="69"/>
      <c r="AE22" s="69"/>
      <c r="AF22" s="69"/>
      <c r="AG22" s="70"/>
      <c r="AH22" s="71"/>
      <c r="AI22" s="69"/>
      <c r="AJ22" s="69"/>
      <c r="AK22" s="69"/>
      <c r="AL22" s="70"/>
      <c r="AM22" s="71"/>
      <c r="AN22" s="69"/>
      <c r="AO22" s="69"/>
      <c r="AP22" s="69"/>
      <c r="AQ22" s="70"/>
      <c r="AR22" s="71"/>
      <c r="AS22" s="69"/>
      <c r="AT22" s="69"/>
      <c r="AU22" s="69"/>
      <c r="AV22" s="70"/>
      <c r="AW22" s="71"/>
      <c r="AX22" s="69"/>
      <c r="AY22" s="69"/>
      <c r="AZ22" s="69"/>
      <c r="BA22" s="70"/>
      <c r="BB22" s="71"/>
      <c r="BC22" s="69"/>
      <c r="BD22" s="69"/>
      <c r="BE22" s="69"/>
      <c r="BF22" s="70"/>
      <c r="BG22" s="71"/>
      <c r="BH22" s="69"/>
      <c r="BI22" s="69"/>
      <c r="BJ22" s="69"/>
      <c r="BK22" s="70"/>
      <c r="BL22" s="71"/>
      <c r="BM22" s="69"/>
      <c r="BN22" s="69"/>
      <c r="BO22" s="69"/>
      <c r="BP22" s="70"/>
      <c r="BQ22" s="71"/>
      <c r="BR22" s="69"/>
      <c r="BS22" s="69"/>
      <c r="BT22" s="69"/>
      <c r="BU22" s="70"/>
      <c r="BV22" s="69"/>
    </row>
    <row r="23">
      <c r="A23" s="88"/>
      <c r="B23" s="60" t="s">
        <v>58</v>
      </c>
      <c r="C23" s="61" t="s">
        <v>59</v>
      </c>
      <c r="D23" s="62"/>
      <c r="E23" s="61" t="s">
        <v>60</v>
      </c>
      <c r="F23" s="62"/>
      <c r="G23" s="63" t="s">
        <v>49</v>
      </c>
      <c r="H23" s="64">
        <v>45904.0</v>
      </c>
      <c r="I23" s="64">
        <v>45904.0</v>
      </c>
      <c r="J23" s="65">
        <f t="shared" si="14"/>
        <v>0</v>
      </c>
      <c r="K23" s="66">
        <v>1.0</v>
      </c>
      <c r="L23" s="78"/>
      <c r="M23" s="79"/>
      <c r="N23" s="89"/>
      <c r="O23" s="89"/>
      <c r="P23" s="89"/>
      <c r="Q23" s="89"/>
      <c r="R23" s="90"/>
      <c r="S23" s="91"/>
      <c r="T23" s="89"/>
      <c r="U23" s="89"/>
      <c r="V23" s="89"/>
      <c r="W23" s="90"/>
      <c r="X23" s="91"/>
      <c r="Y23" s="89"/>
      <c r="Z23" s="89"/>
      <c r="AA23" s="89"/>
      <c r="AB23" s="90"/>
      <c r="AC23" s="91"/>
      <c r="AD23" s="89"/>
      <c r="AE23" s="89"/>
      <c r="AF23" s="89"/>
      <c r="AG23" s="90"/>
      <c r="AH23" s="91"/>
      <c r="AI23" s="89"/>
      <c r="AJ23" s="89"/>
      <c r="AK23" s="89"/>
      <c r="AL23" s="90"/>
      <c r="AM23" s="91"/>
      <c r="AN23" s="89"/>
      <c r="AO23" s="89"/>
      <c r="AP23" s="89"/>
      <c r="AQ23" s="90"/>
      <c r="AR23" s="91"/>
      <c r="AS23" s="89"/>
      <c r="AT23" s="89"/>
      <c r="AU23" s="89"/>
      <c r="AV23" s="90"/>
      <c r="AW23" s="91"/>
      <c r="AX23" s="89"/>
      <c r="AY23" s="89"/>
      <c r="AZ23" s="89"/>
      <c r="BA23" s="90"/>
      <c r="BB23" s="91"/>
      <c r="BC23" s="89"/>
      <c r="BD23" s="89"/>
      <c r="BE23" s="89"/>
      <c r="BF23" s="90"/>
      <c r="BG23" s="91"/>
      <c r="BH23" s="89"/>
      <c r="BI23" s="89"/>
      <c r="BJ23" s="89"/>
      <c r="BK23" s="90"/>
      <c r="BL23" s="91"/>
      <c r="BM23" s="89"/>
      <c r="BN23" s="89"/>
      <c r="BO23" s="89"/>
      <c r="BP23" s="90"/>
      <c r="BQ23" s="91"/>
      <c r="BR23" s="89"/>
      <c r="BS23" s="89"/>
      <c r="BT23" s="89"/>
      <c r="BU23" s="90"/>
      <c r="BV23" s="89"/>
    </row>
    <row r="24">
      <c r="A24" s="51"/>
      <c r="B24" s="52">
        <v>1.0</v>
      </c>
      <c r="C24" s="53" t="s">
        <v>34</v>
      </c>
      <c r="E24" s="54"/>
      <c r="F24" s="54"/>
      <c r="G24" s="55"/>
      <c r="H24" s="55"/>
      <c r="I24" s="55"/>
      <c r="J24" s="56"/>
      <c r="K24" s="55"/>
      <c r="L24" s="57"/>
      <c r="M24" s="57"/>
      <c r="N24" s="58"/>
      <c r="O24" s="57"/>
      <c r="P24" s="1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</row>
    <row r="25">
      <c r="A25" s="51"/>
      <c r="B25" s="92">
        <v>1.1</v>
      </c>
      <c r="C25" s="73" t="s">
        <v>61</v>
      </c>
      <c r="D25" s="74"/>
      <c r="E25" s="73" t="s">
        <v>62</v>
      </c>
      <c r="F25" s="74"/>
      <c r="G25" s="63" t="s">
        <v>63</v>
      </c>
      <c r="H25" s="75">
        <v>45904.0</v>
      </c>
      <c r="I25" s="75">
        <v>45906.0</v>
      </c>
      <c r="J25" s="76">
        <f>days(I25,H25)</f>
        <v>2</v>
      </c>
      <c r="K25" s="77">
        <v>1.0</v>
      </c>
      <c r="L25" s="78"/>
      <c r="M25" s="79"/>
      <c r="N25" s="69"/>
      <c r="O25" s="69"/>
      <c r="P25" s="69"/>
      <c r="Q25" s="69"/>
      <c r="R25" s="70"/>
      <c r="S25" s="71"/>
      <c r="T25" s="69"/>
      <c r="U25" s="69"/>
      <c r="V25" s="80"/>
      <c r="W25" s="81"/>
      <c r="X25" s="71"/>
      <c r="Y25" s="69"/>
      <c r="Z25" s="69"/>
      <c r="AA25" s="69"/>
      <c r="AB25" s="70"/>
      <c r="AC25" s="71"/>
      <c r="AD25" s="69"/>
      <c r="AE25" s="69"/>
      <c r="AF25" s="69"/>
      <c r="AG25" s="70"/>
      <c r="AH25" s="71"/>
      <c r="AI25" s="69"/>
      <c r="AJ25" s="69"/>
      <c r="AK25" s="69"/>
      <c r="AL25" s="70"/>
      <c r="AM25" s="71"/>
      <c r="AN25" s="69"/>
      <c r="AO25" s="69"/>
      <c r="AP25" s="69"/>
      <c r="AQ25" s="70"/>
      <c r="AR25" s="71"/>
      <c r="AS25" s="69"/>
      <c r="AT25" s="69"/>
      <c r="AU25" s="69"/>
      <c r="AV25" s="70"/>
      <c r="AW25" s="71"/>
      <c r="AX25" s="69"/>
      <c r="AY25" s="69"/>
      <c r="AZ25" s="69"/>
      <c r="BA25" s="70"/>
      <c r="BB25" s="71"/>
      <c r="BC25" s="69"/>
      <c r="BD25" s="69"/>
      <c r="BE25" s="69"/>
      <c r="BF25" s="70"/>
      <c r="BG25" s="71"/>
      <c r="BH25" s="69"/>
      <c r="BI25" s="69"/>
      <c r="BJ25" s="69"/>
      <c r="BK25" s="70"/>
      <c r="BL25" s="71"/>
      <c r="BM25" s="69"/>
      <c r="BN25" s="69"/>
      <c r="BO25" s="69"/>
      <c r="BP25" s="70"/>
      <c r="BQ25" s="71"/>
      <c r="BR25" s="69"/>
      <c r="BS25" s="69"/>
      <c r="BT25" s="69"/>
      <c r="BU25" s="70"/>
      <c r="BV25" s="71"/>
    </row>
    <row r="26" ht="23.25" customHeight="1">
      <c r="A26" s="51"/>
      <c r="B26" s="92">
        <v>1.2</v>
      </c>
      <c r="C26" s="84"/>
      <c r="D26" s="85"/>
      <c r="E26" s="84"/>
      <c r="F26" s="85"/>
      <c r="G26" s="63" t="s">
        <v>54</v>
      </c>
      <c r="H26" s="83"/>
      <c r="I26" s="83"/>
      <c r="J26" s="83"/>
      <c r="K26" s="83"/>
      <c r="L26" s="78"/>
      <c r="M26" s="79"/>
      <c r="N26" s="69"/>
      <c r="O26" s="69"/>
      <c r="P26" s="69"/>
      <c r="Q26" s="69"/>
      <c r="R26" s="70"/>
      <c r="S26" s="71"/>
      <c r="T26" s="69"/>
      <c r="U26" s="69"/>
      <c r="V26" s="83"/>
      <c r="W26" s="86"/>
      <c r="X26" s="71"/>
      <c r="Y26" s="69"/>
      <c r="Z26" s="69"/>
      <c r="AA26" s="69"/>
      <c r="AB26" s="70"/>
      <c r="AC26" s="71"/>
      <c r="AD26" s="69"/>
      <c r="AE26" s="69"/>
      <c r="AF26" s="69"/>
      <c r="AG26" s="70"/>
      <c r="AH26" s="71"/>
      <c r="AI26" s="69"/>
      <c r="AJ26" s="69"/>
      <c r="AK26" s="69"/>
      <c r="AL26" s="70"/>
      <c r="AM26" s="71"/>
      <c r="AN26" s="69"/>
      <c r="AO26" s="69"/>
      <c r="AP26" s="69"/>
      <c r="AQ26" s="70"/>
      <c r="AR26" s="71"/>
      <c r="AS26" s="69"/>
      <c r="AT26" s="69"/>
      <c r="AU26" s="69"/>
      <c r="AV26" s="70"/>
      <c r="AW26" s="71"/>
      <c r="AX26" s="69"/>
      <c r="AY26" s="69"/>
      <c r="AZ26" s="69"/>
      <c r="BA26" s="70"/>
      <c r="BB26" s="71"/>
      <c r="BC26" s="69"/>
      <c r="BD26" s="69"/>
      <c r="BE26" s="69"/>
      <c r="BF26" s="70"/>
      <c r="BG26" s="71"/>
      <c r="BH26" s="69"/>
      <c r="BI26" s="69"/>
      <c r="BJ26" s="69"/>
      <c r="BK26" s="70"/>
      <c r="BL26" s="71"/>
      <c r="BM26" s="69"/>
      <c r="BN26" s="69"/>
      <c r="BO26" s="69"/>
      <c r="BP26" s="70"/>
      <c r="BQ26" s="71"/>
      <c r="BR26" s="69"/>
      <c r="BS26" s="69"/>
      <c r="BT26" s="69"/>
      <c r="BU26" s="70"/>
      <c r="BV26" s="71"/>
    </row>
    <row r="27">
      <c r="A27" s="51"/>
      <c r="B27" s="92">
        <v>1.3</v>
      </c>
      <c r="C27" s="93" t="s">
        <v>64</v>
      </c>
      <c r="D27" s="62"/>
      <c r="E27" s="61" t="s">
        <v>65</v>
      </c>
      <c r="F27" s="62"/>
      <c r="G27" s="63" t="s">
        <v>63</v>
      </c>
      <c r="H27" s="64">
        <v>45905.0</v>
      </c>
      <c r="I27" s="64">
        <v>45906.0</v>
      </c>
      <c r="J27" s="65">
        <f t="shared" ref="J27:J30" si="15">days(I27,H27)</f>
        <v>1</v>
      </c>
      <c r="K27" s="66">
        <v>1.0</v>
      </c>
      <c r="L27" s="78"/>
      <c r="M27" s="79"/>
      <c r="N27" s="69"/>
      <c r="O27" s="69"/>
      <c r="P27" s="69"/>
      <c r="Q27" s="69"/>
      <c r="R27" s="70"/>
      <c r="S27" s="71"/>
      <c r="T27" s="69"/>
      <c r="U27" s="69"/>
      <c r="V27" s="69"/>
      <c r="W27" s="70"/>
      <c r="X27" s="71"/>
      <c r="Y27" s="69"/>
      <c r="Z27" s="69"/>
      <c r="AA27" s="69"/>
      <c r="AB27" s="70"/>
      <c r="AC27" s="71"/>
      <c r="AD27" s="69"/>
      <c r="AE27" s="69"/>
      <c r="AF27" s="69"/>
      <c r="AG27" s="70"/>
      <c r="AH27" s="71"/>
      <c r="AI27" s="69"/>
      <c r="AJ27" s="69"/>
      <c r="AK27" s="69"/>
      <c r="AL27" s="70"/>
      <c r="AM27" s="71"/>
      <c r="AN27" s="69"/>
      <c r="AO27" s="69"/>
      <c r="AP27" s="69"/>
      <c r="AQ27" s="70"/>
      <c r="AR27" s="71"/>
      <c r="AS27" s="69"/>
      <c r="AT27" s="69"/>
      <c r="AU27" s="69"/>
      <c r="AV27" s="70"/>
      <c r="AW27" s="71"/>
      <c r="AX27" s="69"/>
      <c r="AY27" s="69"/>
      <c r="AZ27" s="69"/>
      <c r="BA27" s="70"/>
      <c r="BB27" s="71"/>
      <c r="BC27" s="69"/>
      <c r="BD27" s="69"/>
      <c r="BE27" s="69"/>
      <c r="BF27" s="70"/>
      <c r="BG27" s="71"/>
      <c r="BH27" s="69"/>
      <c r="BI27" s="69"/>
      <c r="BJ27" s="69"/>
      <c r="BK27" s="70"/>
      <c r="BL27" s="71"/>
      <c r="BM27" s="69"/>
      <c r="BN27" s="69"/>
      <c r="BO27" s="69"/>
      <c r="BP27" s="70"/>
      <c r="BQ27" s="71"/>
      <c r="BR27" s="69"/>
      <c r="BS27" s="69"/>
      <c r="BT27" s="69"/>
      <c r="BU27" s="70"/>
      <c r="BV27" s="71"/>
    </row>
    <row r="28">
      <c r="A28" s="51"/>
      <c r="B28" s="92">
        <v>1.4</v>
      </c>
      <c r="C28" s="61" t="s">
        <v>66</v>
      </c>
      <c r="D28" s="62"/>
      <c r="E28" s="61" t="s">
        <v>67</v>
      </c>
      <c r="F28" s="62"/>
      <c r="G28" s="63" t="s">
        <v>63</v>
      </c>
      <c r="H28" s="64">
        <v>45906.0</v>
      </c>
      <c r="I28" s="64">
        <v>45907.0</v>
      </c>
      <c r="J28" s="65">
        <f t="shared" si="15"/>
        <v>1</v>
      </c>
      <c r="K28" s="66">
        <v>1.0</v>
      </c>
      <c r="L28" s="78"/>
      <c r="M28" s="79"/>
      <c r="N28" s="69"/>
      <c r="O28" s="69"/>
      <c r="P28" s="69"/>
      <c r="Q28" s="69"/>
      <c r="R28" s="70"/>
      <c r="S28" s="71"/>
      <c r="T28" s="69"/>
      <c r="U28" s="69"/>
      <c r="V28" s="69"/>
      <c r="W28" s="94"/>
      <c r="X28" s="71"/>
      <c r="Y28" s="69"/>
      <c r="Z28" s="69"/>
      <c r="AA28" s="69"/>
      <c r="AB28" s="70"/>
      <c r="AC28" s="71"/>
      <c r="AD28" s="69"/>
      <c r="AE28" s="69"/>
      <c r="AF28" s="69"/>
      <c r="AG28" s="70"/>
      <c r="AH28" s="71"/>
      <c r="AI28" s="69"/>
      <c r="AJ28" s="69"/>
      <c r="AK28" s="69"/>
      <c r="AL28" s="70"/>
      <c r="AM28" s="71"/>
      <c r="AN28" s="69"/>
      <c r="AO28" s="69"/>
      <c r="AP28" s="69"/>
      <c r="AQ28" s="70"/>
      <c r="AR28" s="71"/>
      <c r="AS28" s="69"/>
      <c r="AT28" s="69"/>
      <c r="AU28" s="69"/>
      <c r="AV28" s="70"/>
      <c r="AW28" s="71"/>
      <c r="AX28" s="69"/>
      <c r="AY28" s="69"/>
      <c r="AZ28" s="69"/>
      <c r="BA28" s="70"/>
      <c r="BB28" s="71"/>
      <c r="BC28" s="69"/>
      <c r="BD28" s="69"/>
      <c r="BE28" s="69"/>
      <c r="BF28" s="70"/>
      <c r="BG28" s="71"/>
      <c r="BH28" s="69"/>
      <c r="BI28" s="69"/>
      <c r="BJ28" s="69"/>
      <c r="BK28" s="70"/>
      <c r="BL28" s="71"/>
      <c r="BM28" s="69"/>
      <c r="BN28" s="69"/>
      <c r="BO28" s="69"/>
      <c r="BP28" s="70"/>
      <c r="BQ28" s="71"/>
      <c r="BR28" s="69"/>
      <c r="BS28" s="69"/>
      <c r="BT28" s="69"/>
      <c r="BU28" s="70"/>
      <c r="BV28" s="71"/>
    </row>
    <row r="29">
      <c r="A29" s="51"/>
      <c r="B29" s="92">
        <v>1.5</v>
      </c>
      <c r="C29" s="61" t="s">
        <v>68</v>
      </c>
      <c r="D29" s="62"/>
      <c r="E29" s="61" t="s">
        <v>69</v>
      </c>
      <c r="F29" s="62"/>
      <c r="G29" s="63" t="s">
        <v>54</v>
      </c>
      <c r="H29" s="64">
        <v>45906.0</v>
      </c>
      <c r="I29" s="64">
        <v>45907.0</v>
      </c>
      <c r="J29" s="65">
        <f t="shared" si="15"/>
        <v>1</v>
      </c>
      <c r="K29" s="66">
        <v>1.0</v>
      </c>
      <c r="L29" s="78"/>
      <c r="M29" s="79"/>
      <c r="N29" s="69"/>
      <c r="O29" s="69"/>
      <c r="P29" s="69"/>
      <c r="Q29" s="69"/>
      <c r="R29" s="70"/>
      <c r="S29" s="71"/>
      <c r="T29" s="69"/>
      <c r="U29" s="69"/>
      <c r="V29" s="69"/>
      <c r="W29" s="95"/>
      <c r="X29" s="96"/>
      <c r="Y29" s="69"/>
      <c r="Z29" s="69"/>
      <c r="AA29" s="71"/>
      <c r="AB29" s="70"/>
      <c r="AC29" s="71"/>
      <c r="AD29" s="69"/>
      <c r="AE29" s="69"/>
      <c r="AF29" s="69"/>
      <c r="AG29" s="70"/>
      <c r="AH29" s="71"/>
      <c r="AI29" s="69"/>
      <c r="AJ29" s="69"/>
      <c r="AK29" s="71"/>
      <c r="AL29" s="70"/>
      <c r="AM29" s="71"/>
      <c r="AN29" s="69"/>
      <c r="AO29" s="69"/>
      <c r="AP29" s="69"/>
      <c r="AQ29" s="70"/>
      <c r="AR29" s="71"/>
      <c r="AS29" s="69"/>
      <c r="AT29" s="69"/>
      <c r="AU29" s="69"/>
      <c r="AV29" s="70"/>
      <c r="AW29" s="71"/>
      <c r="AX29" s="69"/>
      <c r="AY29" s="69"/>
      <c r="AZ29" s="69"/>
      <c r="BA29" s="70"/>
      <c r="BB29" s="71"/>
      <c r="BC29" s="69"/>
      <c r="BD29" s="69"/>
      <c r="BE29" s="69"/>
      <c r="BF29" s="70"/>
      <c r="BG29" s="71"/>
      <c r="BH29" s="69"/>
      <c r="BI29" s="69"/>
      <c r="BJ29" s="69"/>
      <c r="BK29" s="70"/>
      <c r="BL29" s="71"/>
      <c r="BM29" s="69"/>
      <c r="BN29" s="69"/>
      <c r="BO29" s="69"/>
      <c r="BP29" s="70"/>
      <c r="BQ29" s="71"/>
      <c r="BR29" s="69"/>
      <c r="BS29" s="69"/>
      <c r="BT29" s="69"/>
      <c r="BU29" s="70"/>
      <c r="BV29" s="71"/>
    </row>
    <row r="30">
      <c r="A30" s="59"/>
      <c r="B30" s="97">
        <v>1.6</v>
      </c>
      <c r="C30" s="98" t="s">
        <v>70</v>
      </c>
      <c r="D30" s="62"/>
      <c r="E30" s="98" t="s">
        <v>71</v>
      </c>
      <c r="F30" s="62"/>
      <c r="G30" s="99" t="s">
        <v>49</v>
      </c>
      <c r="H30" s="100">
        <v>45908.0</v>
      </c>
      <c r="I30" s="100">
        <v>45908.0</v>
      </c>
      <c r="J30" s="101">
        <f t="shared" si="15"/>
        <v>0</v>
      </c>
      <c r="K30" s="66">
        <v>1.0</v>
      </c>
      <c r="L30" s="78"/>
      <c r="M30" s="79"/>
      <c r="N30" s="69"/>
      <c r="O30" s="69"/>
      <c r="P30" s="69"/>
      <c r="Q30" s="69"/>
      <c r="R30" s="70"/>
      <c r="S30" s="71"/>
      <c r="T30" s="69"/>
      <c r="U30" s="69"/>
      <c r="V30" s="69"/>
      <c r="W30" s="70"/>
      <c r="X30" s="71"/>
      <c r="Y30" s="69"/>
      <c r="Z30" s="69"/>
      <c r="AA30" s="71"/>
      <c r="AB30" s="70"/>
      <c r="AC30" s="71"/>
      <c r="AD30" s="69"/>
      <c r="AE30" s="69"/>
      <c r="AF30" s="69"/>
      <c r="AG30" s="70"/>
      <c r="AH30" s="71"/>
      <c r="AI30" s="69"/>
      <c r="AJ30" s="69"/>
      <c r="AK30" s="71"/>
      <c r="AL30" s="70"/>
      <c r="AM30" s="71"/>
      <c r="AN30" s="69"/>
      <c r="AO30" s="69"/>
      <c r="AP30" s="69"/>
      <c r="AQ30" s="70"/>
      <c r="AR30" s="71"/>
      <c r="AS30" s="69"/>
      <c r="AT30" s="69"/>
      <c r="AU30" s="69"/>
      <c r="AV30" s="70"/>
      <c r="AW30" s="71"/>
      <c r="AX30" s="69"/>
      <c r="AY30" s="69"/>
      <c r="AZ30" s="69"/>
      <c r="BA30" s="70"/>
      <c r="BB30" s="71"/>
      <c r="BC30" s="69"/>
      <c r="BD30" s="69"/>
      <c r="BE30" s="69"/>
      <c r="BF30" s="70"/>
      <c r="BG30" s="71"/>
      <c r="BH30" s="69"/>
      <c r="BI30" s="69"/>
      <c r="BJ30" s="69"/>
      <c r="BK30" s="70"/>
      <c r="BL30" s="71"/>
      <c r="BM30" s="69"/>
      <c r="BN30" s="69"/>
      <c r="BO30" s="69"/>
      <c r="BP30" s="70"/>
      <c r="BQ30" s="71"/>
      <c r="BR30" s="69"/>
      <c r="BS30" s="69"/>
      <c r="BT30" s="69"/>
      <c r="BU30" s="70"/>
      <c r="BV30" s="71"/>
    </row>
    <row r="31">
      <c r="A31" s="51"/>
      <c r="B31" s="52">
        <v>2.0</v>
      </c>
      <c r="C31" s="53" t="s">
        <v>35</v>
      </c>
      <c r="E31" s="54"/>
      <c r="F31" s="54"/>
      <c r="G31" s="55"/>
      <c r="H31" s="55"/>
      <c r="I31" s="55"/>
      <c r="J31" s="56"/>
      <c r="K31" s="55"/>
      <c r="L31" s="57"/>
      <c r="M31" s="57"/>
      <c r="N31" s="58"/>
      <c r="O31" s="57"/>
      <c r="P31" s="1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</row>
    <row r="32">
      <c r="A32" s="51"/>
      <c r="B32" s="63">
        <v>2.1</v>
      </c>
      <c r="C32" s="61" t="s">
        <v>72</v>
      </c>
      <c r="D32" s="62"/>
      <c r="E32" s="102" t="s">
        <v>73</v>
      </c>
      <c r="F32" s="62"/>
      <c r="G32" s="63" t="s">
        <v>63</v>
      </c>
      <c r="H32" s="64">
        <v>45909.0</v>
      </c>
      <c r="I32" s="64">
        <v>45911.0</v>
      </c>
      <c r="J32" s="65">
        <f t="shared" ref="J32:J33" si="16">days(I32,H32)</f>
        <v>2</v>
      </c>
      <c r="K32" s="66">
        <v>1.0</v>
      </c>
      <c r="L32" s="78"/>
      <c r="M32" s="79"/>
      <c r="N32" s="69"/>
      <c r="O32" s="69"/>
      <c r="P32" s="69"/>
      <c r="Q32" s="69"/>
      <c r="R32" s="70"/>
      <c r="S32" s="71"/>
      <c r="T32" s="69"/>
      <c r="U32" s="69"/>
      <c r="V32" s="69"/>
      <c r="W32" s="70"/>
      <c r="X32" s="69"/>
      <c r="Y32" s="69"/>
      <c r="Z32" s="69"/>
      <c r="AA32" s="69"/>
      <c r="AB32" s="70"/>
      <c r="AC32" s="71"/>
      <c r="AD32" s="69"/>
      <c r="AE32" s="69"/>
      <c r="AF32" s="69"/>
      <c r="AG32" s="70"/>
      <c r="AH32" s="71"/>
      <c r="AI32" s="69"/>
      <c r="AJ32" s="69"/>
      <c r="AK32" s="69"/>
      <c r="AL32" s="70"/>
      <c r="AM32" s="71"/>
      <c r="AN32" s="69"/>
      <c r="AO32" s="69"/>
      <c r="AP32" s="69"/>
      <c r="AQ32" s="70"/>
      <c r="AR32" s="71"/>
      <c r="AS32" s="69"/>
      <c r="AT32" s="69"/>
      <c r="AU32" s="69"/>
      <c r="AV32" s="70"/>
      <c r="AW32" s="71"/>
      <c r="AX32" s="69"/>
      <c r="AY32" s="69"/>
      <c r="AZ32" s="69"/>
      <c r="BA32" s="70"/>
      <c r="BB32" s="71"/>
      <c r="BC32" s="69"/>
      <c r="BD32" s="69"/>
      <c r="BE32" s="69"/>
      <c r="BF32" s="70"/>
      <c r="BG32" s="71"/>
      <c r="BH32" s="69"/>
      <c r="BI32" s="69"/>
      <c r="BJ32" s="69"/>
      <c r="BK32" s="70"/>
      <c r="BL32" s="71"/>
      <c r="BM32" s="69"/>
      <c r="BN32" s="69"/>
      <c r="BO32" s="69"/>
      <c r="BP32" s="70"/>
      <c r="BQ32" s="71"/>
      <c r="BR32" s="69"/>
      <c r="BS32" s="69"/>
      <c r="BT32" s="69"/>
      <c r="BU32" s="70"/>
      <c r="BV32" s="71"/>
    </row>
    <row r="33">
      <c r="A33" s="51"/>
      <c r="B33" s="103">
        <v>2.2</v>
      </c>
      <c r="C33" s="73" t="s">
        <v>74</v>
      </c>
      <c r="D33" s="74"/>
      <c r="E33" s="104" t="s">
        <v>75</v>
      </c>
      <c r="F33" s="74"/>
      <c r="G33" s="63" t="s">
        <v>54</v>
      </c>
      <c r="H33" s="75">
        <v>45910.0</v>
      </c>
      <c r="I33" s="75">
        <v>45912.0</v>
      </c>
      <c r="J33" s="76">
        <f t="shared" si="16"/>
        <v>2</v>
      </c>
      <c r="K33" s="77">
        <v>1.0</v>
      </c>
      <c r="L33" s="78"/>
      <c r="M33" s="79"/>
      <c r="N33" s="69"/>
      <c r="O33" s="69"/>
      <c r="P33" s="69"/>
      <c r="Q33" s="69"/>
      <c r="R33" s="70"/>
      <c r="S33" s="71"/>
      <c r="T33" s="69"/>
      <c r="U33" s="69"/>
      <c r="V33" s="69"/>
      <c r="W33" s="70"/>
      <c r="X33" s="69"/>
      <c r="Y33" s="69"/>
      <c r="Z33" s="80"/>
      <c r="AA33" s="80"/>
      <c r="AB33" s="81"/>
      <c r="AC33" s="71"/>
      <c r="AD33" s="69"/>
      <c r="AE33" s="69"/>
      <c r="AF33" s="69"/>
      <c r="AG33" s="70"/>
      <c r="AH33" s="71"/>
      <c r="AI33" s="69"/>
      <c r="AJ33" s="69"/>
      <c r="AK33" s="69"/>
      <c r="AL33" s="70"/>
      <c r="AM33" s="71"/>
      <c r="AN33" s="69"/>
      <c r="AO33" s="69"/>
      <c r="AP33" s="69"/>
      <c r="AQ33" s="70"/>
      <c r="AR33" s="71"/>
      <c r="AS33" s="69"/>
      <c r="AT33" s="69"/>
      <c r="AU33" s="69"/>
      <c r="AV33" s="70"/>
      <c r="AW33" s="71"/>
      <c r="AX33" s="69"/>
      <c r="AY33" s="69"/>
      <c r="AZ33" s="69"/>
      <c r="BA33" s="70"/>
      <c r="BB33" s="71"/>
      <c r="BC33" s="69"/>
      <c r="BD33" s="69"/>
      <c r="BE33" s="69"/>
      <c r="BF33" s="70"/>
      <c r="BG33" s="71"/>
      <c r="BH33" s="69"/>
      <c r="BI33" s="69"/>
      <c r="BJ33" s="69"/>
      <c r="BK33" s="70"/>
      <c r="BL33" s="71"/>
      <c r="BM33" s="69"/>
      <c r="BN33" s="69"/>
      <c r="BO33" s="69"/>
      <c r="BP33" s="70"/>
      <c r="BQ33" s="71"/>
      <c r="BR33" s="69"/>
      <c r="BS33" s="69"/>
      <c r="BT33" s="69"/>
      <c r="BU33" s="70"/>
      <c r="BV33" s="71"/>
    </row>
    <row r="34">
      <c r="A34" s="51"/>
      <c r="B34" s="83"/>
      <c r="C34" s="84"/>
      <c r="D34" s="85"/>
      <c r="E34" s="84"/>
      <c r="F34" s="85"/>
      <c r="G34" s="63" t="s">
        <v>53</v>
      </c>
      <c r="H34" s="83"/>
      <c r="I34" s="83"/>
      <c r="J34" s="83"/>
      <c r="K34" s="83"/>
      <c r="L34" s="78"/>
      <c r="M34" s="79"/>
      <c r="N34" s="69"/>
      <c r="O34" s="69"/>
      <c r="P34" s="69"/>
      <c r="Q34" s="69"/>
      <c r="R34" s="70"/>
      <c r="S34" s="71"/>
      <c r="T34" s="69"/>
      <c r="U34" s="69"/>
      <c r="V34" s="69"/>
      <c r="W34" s="70"/>
      <c r="X34" s="69"/>
      <c r="Y34" s="69"/>
      <c r="Z34" s="83"/>
      <c r="AA34" s="83"/>
      <c r="AB34" s="86"/>
      <c r="AC34" s="71"/>
      <c r="AD34" s="69"/>
      <c r="AE34" s="69"/>
      <c r="AF34" s="69"/>
      <c r="AG34" s="70"/>
      <c r="AH34" s="71"/>
      <c r="AI34" s="69"/>
      <c r="AJ34" s="69"/>
      <c r="AK34" s="69"/>
      <c r="AL34" s="70"/>
      <c r="AM34" s="71"/>
      <c r="AN34" s="69"/>
      <c r="AO34" s="69"/>
      <c r="AP34" s="69"/>
      <c r="AQ34" s="70"/>
      <c r="AR34" s="71"/>
      <c r="AS34" s="69"/>
      <c r="AT34" s="69"/>
      <c r="AU34" s="69"/>
      <c r="AV34" s="70"/>
      <c r="AW34" s="71"/>
      <c r="AX34" s="69"/>
      <c r="AY34" s="69"/>
      <c r="AZ34" s="69"/>
      <c r="BA34" s="70"/>
      <c r="BB34" s="71"/>
      <c r="BC34" s="69"/>
      <c r="BD34" s="69"/>
      <c r="BE34" s="69"/>
      <c r="BF34" s="70"/>
      <c r="BG34" s="71"/>
      <c r="BH34" s="69"/>
      <c r="BI34" s="69"/>
      <c r="BJ34" s="69"/>
      <c r="BK34" s="70"/>
      <c r="BL34" s="71"/>
      <c r="BM34" s="69"/>
      <c r="BN34" s="69"/>
      <c r="BO34" s="69"/>
      <c r="BP34" s="70"/>
      <c r="BQ34" s="71"/>
      <c r="BR34" s="69"/>
      <c r="BS34" s="69"/>
      <c r="BT34" s="69"/>
      <c r="BU34" s="70"/>
      <c r="BV34" s="71"/>
    </row>
    <row r="35">
      <c r="A35" s="51"/>
      <c r="B35" s="63">
        <v>2.3</v>
      </c>
      <c r="C35" s="61" t="s">
        <v>76</v>
      </c>
      <c r="D35" s="62"/>
      <c r="E35" s="105" t="s">
        <v>77</v>
      </c>
      <c r="F35" s="62"/>
      <c r="G35" s="63" t="s">
        <v>49</v>
      </c>
      <c r="H35" s="64">
        <v>45910.0</v>
      </c>
      <c r="I35" s="64">
        <v>45911.0</v>
      </c>
      <c r="J35" s="65">
        <f t="shared" ref="J35:J36" si="17">days(I35,H35)</f>
        <v>1</v>
      </c>
      <c r="K35" s="66">
        <v>1.0</v>
      </c>
      <c r="L35" s="78"/>
      <c r="M35" s="79"/>
      <c r="N35" s="69"/>
      <c r="O35" s="69"/>
      <c r="P35" s="69"/>
      <c r="Q35" s="69"/>
      <c r="R35" s="70"/>
      <c r="S35" s="71"/>
      <c r="T35" s="69"/>
      <c r="U35" s="69"/>
      <c r="V35" s="69"/>
      <c r="W35" s="70"/>
      <c r="X35" s="69"/>
      <c r="Y35" s="69"/>
      <c r="Z35" s="69"/>
      <c r="AA35" s="69"/>
      <c r="AB35" s="70"/>
      <c r="AC35" s="71"/>
      <c r="AD35" s="69"/>
      <c r="AE35" s="69"/>
      <c r="AF35" s="69"/>
      <c r="AG35" s="70"/>
      <c r="AH35" s="71"/>
      <c r="AI35" s="69"/>
      <c r="AJ35" s="69"/>
      <c r="AK35" s="69"/>
      <c r="AL35" s="70"/>
      <c r="AM35" s="71"/>
      <c r="AN35" s="69"/>
      <c r="AO35" s="69"/>
      <c r="AP35" s="69"/>
      <c r="AQ35" s="70"/>
      <c r="AR35" s="71"/>
      <c r="AS35" s="69"/>
      <c r="AT35" s="69"/>
      <c r="AU35" s="69"/>
      <c r="AV35" s="70"/>
      <c r="AW35" s="71"/>
      <c r="AX35" s="69"/>
      <c r="AY35" s="69"/>
      <c r="AZ35" s="69"/>
      <c r="BA35" s="70"/>
      <c r="BB35" s="71"/>
      <c r="BC35" s="69"/>
      <c r="BD35" s="69"/>
      <c r="BE35" s="69"/>
      <c r="BF35" s="70"/>
      <c r="BG35" s="71"/>
      <c r="BH35" s="69"/>
      <c r="BI35" s="69"/>
      <c r="BJ35" s="69"/>
      <c r="BK35" s="70"/>
      <c r="BL35" s="71"/>
      <c r="BM35" s="69"/>
      <c r="BN35" s="69"/>
      <c r="BO35" s="69"/>
      <c r="BP35" s="70"/>
      <c r="BQ35" s="71"/>
      <c r="BR35" s="69"/>
      <c r="BS35" s="69"/>
      <c r="BT35" s="69"/>
      <c r="BU35" s="70"/>
      <c r="BV35" s="71"/>
    </row>
    <row r="36">
      <c r="A36" s="51"/>
      <c r="B36" s="103">
        <v>2.4</v>
      </c>
      <c r="C36" s="73" t="s">
        <v>78</v>
      </c>
      <c r="D36" s="74"/>
      <c r="E36" s="104" t="s">
        <v>79</v>
      </c>
      <c r="F36" s="74"/>
      <c r="G36" s="63" t="s">
        <v>63</v>
      </c>
      <c r="H36" s="75">
        <v>45911.0</v>
      </c>
      <c r="I36" s="75">
        <v>45914.0</v>
      </c>
      <c r="J36" s="76">
        <f t="shared" si="17"/>
        <v>3</v>
      </c>
      <c r="K36" s="77">
        <v>1.0</v>
      </c>
      <c r="L36" s="78"/>
      <c r="M36" s="79"/>
      <c r="N36" s="69"/>
      <c r="O36" s="69"/>
      <c r="P36" s="69"/>
      <c r="Q36" s="69"/>
      <c r="R36" s="70"/>
      <c r="S36" s="71"/>
      <c r="T36" s="69"/>
      <c r="U36" s="69"/>
      <c r="V36" s="69"/>
      <c r="W36" s="70"/>
      <c r="X36" s="69"/>
      <c r="Y36" s="69"/>
      <c r="Z36" s="69"/>
      <c r="AA36" s="80"/>
      <c r="AB36" s="81"/>
      <c r="AC36" s="71"/>
      <c r="AD36" s="69"/>
      <c r="AE36" s="69"/>
      <c r="AF36" s="69"/>
      <c r="AG36" s="70"/>
      <c r="AH36" s="71"/>
      <c r="AI36" s="69"/>
      <c r="AJ36" s="69"/>
      <c r="AK36" s="69"/>
      <c r="AL36" s="70"/>
      <c r="AM36" s="71"/>
      <c r="AN36" s="69"/>
      <c r="AO36" s="69"/>
      <c r="AP36" s="69"/>
      <c r="AQ36" s="70"/>
      <c r="AR36" s="71"/>
      <c r="AS36" s="69"/>
      <c r="AT36" s="69"/>
      <c r="AU36" s="69"/>
      <c r="AV36" s="70"/>
      <c r="AW36" s="71"/>
      <c r="AX36" s="69"/>
      <c r="AY36" s="69"/>
      <c r="AZ36" s="69"/>
      <c r="BA36" s="70"/>
      <c r="BB36" s="71"/>
      <c r="BC36" s="69"/>
      <c r="BD36" s="69"/>
      <c r="BE36" s="69"/>
      <c r="BF36" s="70"/>
      <c r="BG36" s="71"/>
      <c r="BH36" s="69"/>
      <c r="BI36" s="69"/>
      <c r="BJ36" s="69"/>
      <c r="BK36" s="70"/>
      <c r="BL36" s="71"/>
      <c r="BM36" s="69"/>
      <c r="BN36" s="69"/>
      <c r="BO36" s="69"/>
      <c r="BP36" s="70"/>
      <c r="BQ36" s="71"/>
      <c r="BR36" s="69"/>
      <c r="BS36" s="69"/>
      <c r="BT36" s="69"/>
      <c r="BU36" s="70"/>
      <c r="BV36" s="71"/>
    </row>
    <row r="37">
      <c r="A37" s="51"/>
      <c r="B37" s="83"/>
      <c r="C37" s="84"/>
      <c r="D37" s="85"/>
      <c r="E37" s="84"/>
      <c r="F37" s="85"/>
      <c r="G37" s="63" t="s">
        <v>54</v>
      </c>
      <c r="H37" s="83"/>
      <c r="I37" s="83"/>
      <c r="J37" s="83"/>
      <c r="K37" s="83"/>
      <c r="L37" s="78"/>
      <c r="M37" s="79"/>
      <c r="N37" s="69"/>
      <c r="O37" s="69"/>
      <c r="P37" s="69"/>
      <c r="Q37" s="69"/>
      <c r="R37" s="70"/>
      <c r="S37" s="71"/>
      <c r="T37" s="69"/>
      <c r="U37" s="69"/>
      <c r="V37" s="69"/>
      <c r="W37" s="70"/>
      <c r="X37" s="71"/>
      <c r="Y37" s="69"/>
      <c r="Z37" s="69"/>
      <c r="AA37" s="83"/>
      <c r="AB37" s="86"/>
      <c r="AC37" s="71"/>
      <c r="AD37" s="69"/>
      <c r="AE37" s="69"/>
      <c r="AF37" s="69"/>
      <c r="AG37" s="70"/>
      <c r="AH37" s="71"/>
      <c r="AI37" s="69"/>
      <c r="AJ37" s="69"/>
      <c r="AK37" s="69"/>
      <c r="AL37" s="70"/>
      <c r="AM37" s="71"/>
      <c r="AN37" s="69"/>
      <c r="AO37" s="69"/>
      <c r="AP37" s="69"/>
      <c r="AQ37" s="70"/>
      <c r="AR37" s="71"/>
      <c r="AS37" s="69"/>
      <c r="AT37" s="69"/>
      <c r="AU37" s="69"/>
      <c r="AV37" s="70"/>
      <c r="AW37" s="71"/>
      <c r="AX37" s="69"/>
      <c r="AY37" s="69"/>
      <c r="AZ37" s="69"/>
      <c r="BA37" s="70"/>
      <c r="BB37" s="71"/>
      <c r="BC37" s="69"/>
      <c r="BD37" s="69"/>
      <c r="BE37" s="69"/>
      <c r="BF37" s="70"/>
      <c r="BG37" s="71"/>
      <c r="BH37" s="69"/>
      <c r="BI37" s="69"/>
      <c r="BJ37" s="69"/>
      <c r="BK37" s="70"/>
      <c r="BL37" s="71"/>
      <c r="BM37" s="69"/>
      <c r="BN37" s="69"/>
      <c r="BO37" s="69"/>
      <c r="BP37" s="70"/>
      <c r="BQ37" s="71"/>
      <c r="BR37" s="69"/>
      <c r="BS37" s="69"/>
      <c r="BT37" s="69"/>
      <c r="BU37" s="70"/>
      <c r="BV37" s="71"/>
    </row>
    <row r="38">
      <c r="A38" s="88"/>
      <c r="B38" s="99">
        <v>2.5</v>
      </c>
      <c r="C38" s="98" t="s">
        <v>80</v>
      </c>
      <c r="D38" s="62"/>
      <c r="E38" s="106" t="s">
        <v>71</v>
      </c>
      <c r="F38" s="62"/>
      <c r="G38" s="99" t="s">
        <v>49</v>
      </c>
      <c r="H38" s="100">
        <v>45915.0</v>
      </c>
      <c r="I38" s="100">
        <v>45915.0</v>
      </c>
      <c r="J38" s="101">
        <f>days(I38,H38)</f>
        <v>0</v>
      </c>
      <c r="K38" s="66">
        <v>1.0</v>
      </c>
      <c r="L38" s="107"/>
      <c r="M38" s="108"/>
      <c r="N38" s="89"/>
      <c r="O38" s="89"/>
      <c r="P38" s="89"/>
      <c r="Q38" s="89"/>
      <c r="R38" s="90"/>
      <c r="S38" s="91"/>
      <c r="T38" s="89"/>
      <c r="U38" s="89"/>
      <c r="V38" s="89"/>
      <c r="W38" s="90"/>
      <c r="X38" s="91"/>
      <c r="Y38" s="89"/>
      <c r="Z38" s="89"/>
      <c r="AA38" s="89"/>
      <c r="AB38" s="90"/>
      <c r="AC38" s="91"/>
      <c r="AD38" s="89"/>
      <c r="AE38" s="89"/>
      <c r="AF38" s="89"/>
      <c r="AG38" s="90"/>
      <c r="AH38" s="91"/>
      <c r="AI38" s="89"/>
      <c r="AJ38" s="89"/>
      <c r="AK38" s="89"/>
      <c r="AL38" s="90"/>
      <c r="AM38" s="91"/>
      <c r="AN38" s="89"/>
      <c r="AO38" s="89"/>
      <c r="AP38" s="89"/>
      <c r="AQ38" s="90"/>
      <c r="AR38" s="91"/>
      <c r="AS38" s="89"/>
      <c r="AT38" s="89"/>
      <c r="AU38" s="89"/>
      <c r="AV38" s="90"/>
      <c r="AW38" s="91"/>
      <c r="AX38" s="89"/>
      <c r="AY38" s="89"/>
      <c r="AZ38" s="89"/>
      <c r="BA38" s="90"/>
      <c r="BB38" s="91"/>
      <c r="BC38" s="89"/>
      <c r="BD38" s="89"/>
      <c r="BE38" s="89"/>
      <c r="BF38" s="90"/>
      <c r="BG38" s="91"/>
      <c r="BH38" s="89"/>
      <c r="BI38" s="89"/>
      <c r="BJ38" s="89"/>
      <c r="BK38" s="90"/>
      <c r="BL38" s="91"/>
      <c r="BM38" s="89"/>
      <c r="BN38" s="89"/>
      <c r="BO38" s="89"/>
      <c r="BP38" s="90"/>
      <c r="BQ38" s="91"/>
      <c r="BR38" s="89"/>
      <c r="BS38" s="89"/>
      <c r="BT38" s="89"/>
      <c r="BU38" s="90"/>
      <c r="BV38" s="91"/>
    </row>
    <row r="39">
      <c r="A39" s="51"/>
      <c r="B39" s="109" t="s">
        <v>81</v>
      </c>
      <c r="C39" s="110" t="s">
        <v>37</v>
      </c>
      <c r="E39" s="54"/>
      <c r="F39" s="54"/>
      <c r="G39" s="111"/>
      <c r="H39" s="112"/>
      <c r="I39" s="112"/>
      <c r="J39" s="113"/>
      <c r="K39" s="111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  <c r="BH39" s="114"/>
      <c r="BI39" s="114"/>
      <c r="BJ39" s="114"/>
      <c r="BK39" s="114"/>
      <c r="BL39" s="114"/>
      <c r="BM39" s="114"/>
      <c r="BN39" s="114"/>
      <c r="BO39" s="114"/>
      <c r="BP39" s="114"/>
      <c r="BQ39" s="114"/>
      <c r="BR39" s="114"/>
      <c r="BS39" s="114"/>
      <c r="BT39" s="114"/>
      <c r="BU39" s="114"/>
      <c r="BV39" s="114"/>
    </row>
    <row r="40">
      <c r="A40" s="51"/>
      <c r="B40" s="60" t="s">
        <v>82</v>
      </c>
      <c r="C40" s="61" t="s">
        <v>83</v>
      </c>
      <c r="D40" s="62"/>
      <c r="E40" s="105" t="s">
        <v>84</v>
      </c>
      <c r="F40" s="62"/>
      <c r="G40" s="63" t="s">
        <v>63</v>
      </c>
      <c r="H40" s="64">
        <v>45916.0</v>
      </c>
      <c r="I40" s="64">
        <v>45922.0</v>
      </c>
      <c r="J40" s="65">
        <f t="shared" ref="J40:J42" si="18">days(I40,H40)</f>
        <v>6</v>
      </c>
      <c r="K40" s="115">
        <v>1.0</v>
      </c>
      <c r="L40" s="116"/>
      <c r="M40" s="117"/>
      <c r="N40" s="69"/>
      <c r="O40" s="69"/>
      <c r="P40" s="69"/>
      <c r="Q40" s="69"/>
      <c r="R40" s="70"/>
      <c r="S40" s="71"/>
      <c r="T40" s="69"/>
      <c r="U40" s="69"/>
      <c r="V40" s="69"/>
      <c r="W40" s="70"/>
      <c r="X40" s="69"/>
      <c r="Y40" s="69"/>
      <c r="Z40" s="69"/>
      <c r="AA40" s="69"/>
      <c r="AB40" s="70"/>
      <c r="AC40" s="71"/>
      <c r="AD40" s="69"/>
      <c r="AE40" s="69"/>
      <c r="AF40" s="69"/>
      <c r="AG40" s="70"/>
      <c r="AH40" s="71"/>
      <c r="AI40" s="69"/>
      <c r="AJ40" s="69"/>
      <c r="AK40" s="69"/>
      <c r="AL40" s="70"/>
      <c r="AM40" s="71"/>
      <c r="AN40" s="69"/>
      <c r="AO40" s="69"/>
      <c r="AP40" s="69"/>
      <c r="AQ40" s="70"/>
      <c r="AR40" s="71"/>
      <c r="AS40" s="69"/>
      <c r="AT40" s="69"/>
      <c r="AU40" s="69"/>
      <c r="AV40" s="70"/>
      <c r="AW40" s="71"/>
      <c r="AX40" s="69"/>
      <c r="AY40" s="69"/>
      <c r="AZ40" s="69"/>
      <c r="BA40" s="70"/>
      <c r="BB40" s="71"/>
      <c r="BC40" s="69"/>
      <c r="BD40" s="69"/>
      <c r="BE40" s="69"/>
      <c r="BF40" s="70"/>
      <c r="BG40" s="71"/>
      <c r="BH40" s="69"/>
      <c r="BI40" s="69"/>
      <c r="BJ40" s="69"/>
      <c r="BK40" s="70"/>
      <c r="BL40" s="71"/>
      <c r="BM40" s="69"/>
      <c r="BN40" s="69"/>
      <c r="BO40" s="69"/>
      <c r="BP40" s="70"/>
      <c r="BQ40" s="71"/>
      <c r="BR40" s="69"/>
      <c r="BS40" s="69"/>
      <c r="BT40" s="69"/>
      <c r="BU40" s="70"/>
      <c r="BV40" s="71"/>
    </row>
    <row r="41">
      <c r="A41" s="51"/>
      <c r="B41" s="118" t="s">
        <v>85</v>
      </c>
      <c r="C41" s="98" t="s">
        <v>86</v>
      </c>
      <c r="D41" s="62"/>
      <c r="E41" s="98" t="s">
        <v>87</v>
      </c>
      <c r="F41" s="62"/>
      <c r="G41" s="99" t="s">
        <v>49</v>
      </c>
      <c r="H41" s="100">
        <v>45922.0</v>
      </c>
      <c r="I41" s="100">
        <v>45922.0</v>
      </c>
      <c r="J41" s="101">
        <f t="shared" si="18"/>
        <v>0</v>
      </c>
      <c r="K41" s="115">
        <v>1.0</v>
      </c>
      <c r="L41" s="116"/>
      <c r="M41" s="117"/>
      <c r="N41" s="69"/>
      <c r="O41" s="69"/>
      <c r="P41" s="69"/>
      <c r="Q41" s="69"/>
      <c r="R41" s="70"/>
      <c r="S41" s="71"/>
      <c r="T41" s="69"/>
      <c r="U41" s="69"/>
      <c r="V41" s="69"/>
      <c r="W41" s="70"/>
      <c r="X41" s="69"/>
      <c r="Y41" s="69"/>
      <c r="Z41" s="69"/>
      <c r="AA41" s="69"/>
      <c r="AB41" s="70"/>
      <c r="AC41" s="71"/>
      <c r="AD41" s="69"/>
      <c r="AE41" s="69"/>
      <c r="AF41" s="69"/>
      <c r="AG41" s="70"/>
      <c r="AH41" s="71"/>
      <c r="AI41" s="69"/>
      <c r="AJ41" s="69"/>
      <c r="AK41" s="69"/>
      <c r="AL41" s="70"/>
      <c r="AM41" s="71"/>
      <c r="AN41" s="69"/>
      <c r="AO41" s="69"/>
      <c r="AP41" s="69"/>
      <c r="AQ41" s="70"/>
      <c r="AR41" s="71"/>
      <c r="AS41" s="69"/>
      <c r="AT41" s="69"/>
      <c r="AU41" s="69"/>
      <c r="AV41" s="70"/>
      <c r="AW41" s="71"/>
      <c r="AX41" s="69"/>
      <c r="AY41" s="69"/>
      <c r="AZ41" s="69"/>
      <c r="BA41" s="70"/>
      <c r="BB41" s="71"/>
      <c r="BC41" s="69"/>
      <c r="BD41" s="69"/>
      <c r="BE41" s="69"/>
      <c r="BF41" s="70"/>
      <c r="BG41" s="71"/>
      <c r="BH41" s="69"/>
      <c r="BI41" s="69"/>
      <c r="BJ41" s="69"/>
      <c r="BK41" s="70"/>
      <c r="BL41" s="71"/>
      <c r="BM41" s="69"/>
      <c r="BN41" s="69"/>
      <c r="BO41" s="69"/>
      <c r="BP41" s="70"/>
      <c r="BQ41" s="71"/>
      <c r="BR41" s="69"/>
      <c r="BS41" s="69"/>
      <c r="BT41" s="69"/>
      <c r="BU41" s="70"/>
      <c r="BV41" s="71"/>
    </row>
    <row r="42">
      <c r="A42" s="51"/>
      <c r="B42" s="72" t="s">
        <v>88</v>
      </c>
      <c r="C42" s="73" t="s">
        <v>89</v>
      </c>
      <c r="D42" s="74"/>
      <c r="E42" s="119" t="s">
        <v>90</v>
      </c>
      <c r="F42" s="74"/>
      <c r="G42" s="63" t="s">
        <v>63</v>
      </c>
      <c r="H42" s="75">
        <v>45923.0</v>
      </c>
      <c r="I42" s="75">
        <v>45928.0</v>
      </c>
      <c r="J42" s="76">
        <f t="shared" si="18"/>
        <v>5</v>
      </c>
      <c r="K42" s="120">
        <v>1.0</v>
      </c>
      <c r="L42" s="116"/>
      <c r="M42" s="117"/>
      <c r="N42" s="69"/>
      <c r="O42" s="69"/>
      <c r="P42" s="69"/>
      <c r="Q42" s="69"/>
      <c r="R42" s="70"/>
      <c r="S42" s="71"/>
      <c r="T42" s="69"/>
      <c r="U42" s="69"/>
      <c r="V42" s="69"/>
      <c r="W42" s="70"/>
      <c r="X42" s="69"/>
      <c r="Y42" s="69"/>
      <c r="Z42" s="69"/>
      <c r="AA42" s="69"/>
      <c r="AB42" s="70"/>
      <c r="AC42" s="71"/>
      <c r="AD42" s="69"/>
      <c r="AE42" s="69"/>
      <c r="AF42" s="69"/>
      <c r="AG42" s="70"/>
      <c r="AH42" s="71"/>
      <c r="AI42" s="80"/>
      <c r="AJ42" s="80"/>
      <c r="AK42" s="80"/>
      <c r="AL42" s="121"/>
      <c r="AM42" s="71"/>
      <c r="AN42" s="69"/>
      <c r="AO42" s="69"/>
      <c r="AP42" s="69"/>
      <c r="AQ42" s="70"/>
      <c r="AR42" s="71"/>
      <c r="AS42" s="69"/>
      <c r="AT42" s="69"/>
      <c r="AU42" s="69"/>
      <c r="AV42" s="70"/>
      <c r="AW42" s="71"/>
      <c r="AX42" s="69"/>
      <c r="AY42" s="69"/>
      <c r="AZ42" s="69"/>
      <c r="BA42" s="70"/>
      <c r="BB42" s="71"/>
      <c r="BC42" s="69"/>
      <c r="BD42" s="69"/>
      <c r="BE42" s="69"/>
      <c r="BF42" s="70"/>
      <c r="BG42" s="71"/>
      <c r="BH42" s="69"/>
      <c r="BI42" s="69"/>
      <c r="BJ42" s="69"/>
      <c r="BK42" s="70"/>
      <c r="BL42" s="71"/>
      <c r="BM42" s="69"/>
      <c r="BN42" s="69"/>
      <c r="BO42" s="69"/>
      <c r="BP42" s="70"/>
      <c r="BQ42" s="71"/>
      <c r="BR42" s="69"/>
      <c r="BS42" s="69"/>
      <c r="BT42" s="69"/>
      <c r="BU42" s="70"/>
      <c r="BV42" s="71"/>
    </row>
    <row r="43">
      <c r="A43" s="51"/>
      <c r="B43" s="83"/>
      <c r="C43" s="84"/>
      <c r="D43" s="85"/>
      <c r="E43" s="84"/>
      <c r="F43" s="85"/>
      <c r="G43" s="63" t="s">
        <v>54</v>
      </c>
      <c r="H43" s="83"/>
      <c r="I43" s="83"/>
      <c r="J43" s="83"/>
      <c r="K43" s="83"/>
      <c r="L43" s="116"/>
      <c r="M43" s="117"/>
      <c r="N43" s="69"/>
      <c r="O43" s="69"/>
      <c r="P43" s="69"/>
      <c r="Q43" s="69"/>
      <c r="R43" s="70"/>
      <c r="S43" s="71"/>
      <c r="T43" s="69"/>
      <c r="U43" s="69"/>
      <c r="V43" s="69"/>
      <c r="W43" s="70"/>
      <c r="X43" s="69"/>
      <c r="Y43" s="69"/>
      <c r="Z43" s="69"/>
      <c r="AA43" s="69"/>
      <c r="AB43" s="70"/>
      <c r="AC43" s="71"/>
      <c r="AD43" s="69"/>
      <c r="AE43" s="69"/>
      <c r="AF43" s="69"/>
      <c r="AG43" s="70"/>
      <c r="AH43" s="71"/>
      <c r="AI43" s="83"/>
      <c r="AJ43" s="83"/>
      <c r="AK43" s="83"/>
      <c r="AL43" s="86"/>
      <c r="AM43" s="96"/>
      <c r="AN43" s="69"/>
      <c r="AO43" s="69"/>
      <c r="AP43" s="69"/>
      <c r="AQ43" s="70"/>
      <c r="AR43" s="71"/>
      <c r="AS43" s="69"/>
      <c r="AT43" s="69"/>
      <c r="AU43" s="69"/>
      <c r="AV43" s="70"/>
      <c r="AW43" s="71"/>
      <c r="AX43" s="69"/>
      <c r="AY43" s="69"/>
      <c r="AZ43" s="69"/>
      <c r="BA43" s="70"/>
      <c r="BB43" s="71"/>
      <c r="BC43" s="69"/>
      <c r="BD43" s="69"/>
      <c r="BE43" s="69"/>
      <c r="BF43" s="70"/>
      <c r="BG43" s="71"/>
      <c r="BH43" s="69"/>
      <c r="BI43" s="69"/>
      <c r="BJ43" s="69"/>
      <c r="BK43" s="70"/>
      <c r="BL43" s="71"/>
      <c r="BM43" s="69"/>
      <c r="BN43" s="69"/>
      <c r="BO43" s="69"/>
      <c r="BP43" s="70"/>
      <c r="BQ43" s="71"/>
      <c r="BR43" s="69"/>
      <c r="BS43" s="69"/>
      <c r="BT43" s="69"/>
      <c r="BU43" s="70"/>
      <c r="BV43" s="71"/>
    </row>
    <row r="44">
      <c r="A44" s="51"/>
      <c r="B44" s="118" t="s">
        <v>91</v>
      </c>
      <c r="C44" s="98" t="s">
        <v>92</v>
      </c>
      <c r="D44" s="62"/>
      <c r="E44" s="106" t="s">
        <v>87</v>
      </c>
      <c r="F44" s="62"/>
      <c r="G44" s="99" t="s">
        <v>49</v>
      </c>
      <c r="H44" s="100">
        <v>45929.0</v>
      </c>
      <c r="I44" s="100">
        <v>45929.0</v>
      </c>
      <c r="J44" s="101">
        <f>days(I44,H44)</f>
        <v>0</v>
      </c>
      <c r="K44" s="115">
        <v>1.0</v>
      </c>
      <c r="L44" s="116"/>
      <c r="M44" s="117"/>
      <c r="N44" s="69"/>
      <c r="O44" s="69"/>
      <c r="P44" s="69"/>
      <c r="Q44" s="69"/>
      <c r="R44" s="70"/>
      <c r="S44" s="71"/>
      <c r="T44" s="69"/>
      <c r="U44" s="69"/>
      <c r="V44" s="69"/>
      <c r="W44" s="70"/>
      <c r="X44" s="69"/>
      <c r="Y44" s="69"/>
      <c r="Z44" s="69"/>
      <c r="AA44" s="69"/>
      <c r="AB44" s="70"/>
      <c r="AC44" s="71"/>
      <c r="AD44" s="69"/>
      <c r="AE44" s="69"/>
      <c r="AF44" s="69"/>
      <c r="AG44" s="70"/>
      <c r="AH44" s="71"/>
      <c r="AI44" s="69"/>
      <c r="AJ44" s="69"/>
      <c r="AK44" s="69"/>
      <c r="AL44" s="70"/>
      <c r="AM44" s="71"/>
      <c r="AN44" s="69"/>
      <c r="AO44" s="69"/>
      <c r="AP44" s="69"/>
      <c r="AQ44" s="70"/>
      <c r="AR44" s="71"/>
      <c r="AS44" s="69"/>
      <c r="AT44" s="69"/>
      <c r="AU44" s="69"/>
      <c r="AV44" s="70"/>
      <c r="AW44" s="71"/>
      <c r="AX44" s="69"/>
      <c r="AY44" s="69"/>
      <c r="AZ44" s="69"/>
      <c r="BA44" s="70"/>
      <c r="BB44" s="71"/>
      <c r="BC44" s="69"/>
      <c r="BD44" s="69"/>
      <c r="BE44" s="69"/>
      <c r="BF44" s="70"/>
      <c r="BG44" s="71"/>
      <c r="BH44" s="69"/>
      <c r="BI44" s="69"/>
      <c r="BJ44" s="69"/>
      <c r="BK44" s="70"/>
      <c r="BL44" s="71"/>
      <c r="BM44" s="69"/>
      <c r="BN44" s="69"/>
      <c r="BO44" s="69"/>
      <c r="BP44" s="70"/>
      <c r="BQ44" s="71"/>
      <c r="BR44" s="69"/>
      <c r="BS44" s="69"/>
      <c r="BT44" s="69"/>
      <c r="BU44" s="70"/>
      <c r="BV44" s="71"/>
    </row>
    <row r="45">
      <c r="A45" s="51"/>
      <c r="B45" s="52">
        <v>3.0</v>
      </c>
      <c r="C45" s="53" t="s">
        <v>93</v>
      </c>
      <c r="E45" s="54"/>
      <c r="F45" s="54"/>
      <c r="G45" s="55"/>
      <c r="H45" s="55"/>
      <c r="I45" s="55"/>
      <c r="J45" s="56"/>
      <c r="K45" s="55"/>
      <c r="L45" s="57"/>
      <c r="M45" s="57"/>
      <c r="N45" s="58"/>
      <c r="O45" s="57"/>
      <c r="P45" s="1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</row>
    <row r="46">
      <c r="A46" s="51"/>
      <c r="B46" s="63">
        <v>3.1</v>
      </c>
      <c r="C46" s="61" t="s">
        <v>94</v>
      </c>
      <c r="D46" s="62"/>
      <c r="E46" s="61" t="s">
        <v>95</v>
      </c>
      <c r="F46" s="62"/>
      <c r="G46" s="63" t="s">
        <v>49</v>
      </c>
      <c r="H46" s="64">
        <v>45929.0</v>
      </c>
      <c r="I46" s="64">
        <v>45940.0</v>
      </c>
      <c r="J46" s="65">
        <f t="shared" ref="J46:J47" si="19">days(I46,H46)</f>
        <v>11</v>
      </c>
      <c r="K46" s="122">
        <v>1.0</v>
      </c>
      <c r="L46" s="78"/>
      <c r="M46" s="79"/>
      <c r="N46" s="69"/>
      <c r="O46" s="69"/>
      <c r="P46" s="69"/>
      <c r="Q46" s="69"/>
      <c r="R46" s="70"/>
      <c r="S46" s="71"/>
      <c r="T46" s="69"/>
      <c r="U46" s="69"/>
      <c r="V46" s="69"/>
      <c r="W46" s="70"/>
      <c r="X46" s="69"/>
      <c r="Y46" s="69"/>
      <c r="Z46" s="69"/>
      <c r="AA46" s="69"/>
      <c r="AB46" s="70"/>
      <c r="AC46" s="71"/>
      <c r="AD46" s="69"/>
      <c r="AE46" s="69"/>
      <c r="AF46" s="69"/>
      <c r="AG46" s="70"/>
      <c r="AH46" s="71"/>
      <c r="AI46" s="69"/>
      <c r="AJ46" s="69"/>
      <c r="AK46" s="69"/>
      <c r="AL46" s="70"/>
      <c r="AM46" s="71"/>
      <c r="AN46" s="69"/>
      <c r="AO46" s="69"/>
      <c r="AP46" s="69"/>
      <c r="AQ46" s="70"/>
      <c r="AR46" s="71"/>
      <c r="AS46" s="69"/>
      <c r="AT46" s="69"/>
      <c r="AU46" s="69"/>
      <c r="AV46" s="70"/>
      <c r="AW46" s="71"/>
      <c r="AX46" s="69"/>
      <c r="AY46" s="69"/>
      <c r="AZ46" s="69"/>
      <c r="BA46" s="70"/>
      <c r="BB46" s="71"/>
      <c r="BC46" s="69"/>
      <c r="BD46" s="69"/>
      <c r="BE46" s="69"/>
      <c r="BF46" s="70"/>
      <c r="BG46" s="71"/>
      <c r="BH46" s="69"/>
      <c r="BI46" s="69"/>
      <c r="BJ46" s="69"/>
      <c r="BK46" s="70"/>
      <c r="BL46" s="71"/>
      <c r="BM46" s="69"/>
      <c r="BN46" s="69"/>
      <c r="BO46" s="69"/>
      <c r="BP46" s="70"/>
      <c r="BQ46" s="71"/>
      <c r="BR46" s="69"/>
      <c r="BS46" s="69"/>
      <c r="BT46" s="69"/>
      <c r="BU46" s="70"/>
      <c r="BV46" s="71"/>
    </row>
    <row r="47">
      <c r="A47" s="88"/>
      <c r="B47" s="63">
        <v>3.2</v>
      </c>
      <c r="C47" s="87" t="s">
        <v>56</v>
      </c>
      <c r="D47" s="62"/>
      <c r="E47" s="61" t="s">
        <v>96</v>
      </c>
      <c r="F47" s="62"/>
      <c r="G47" s="63" t="s">
        <v>49</v>
      </c>
      <c r="H47" s="64">
        <v>45940.0</v>
      </c>
      <c r="I47" s="64">
        <v>45940.0</v>
      </c>
      <c r="J47" s="65">
        <f t="shared" si="19"/>
        <v>0</v>
      </c>
      <c r="K47" s="123">
        <v>1.0</v>
      </c>
      <c r="L47" s="124"/>
      <c r="M47" s="125"/>
      <c r="N47" s="89"/>
      <c r="O47" s="89"/>
      <c r="P47" s="89"/>
      <c r="Q47" s="89"/>
      <c r="R47" s="90"/>
      <c r="S47" s="91"/>
      <c r="T47" s="89"/>
      <c r="U47" s="89"/>
      <c r="V47" s="89"/>
      <c r="W47" s="90"/>
      <c r="X47" s="91"/>
      <c r="Y47" s="89"/>
      <c r="Z47" s="89"/>
      <c r="AA47" s="89"/>
      <c r="AB47" s="90"/>
      <c r="AC47" s="91"/>
      <c r="AD47" s="89"/>
      <c r="AE47" s="89"/>
      <c r="AF47" s="89"/>
      <c r="AG47" s="90"/>
      <c r="AH47" s="91"/>
      <c r="AI47" s="89"/>
      <c r="AJ47" s="89"/>
      <c r="AK47" s="89"/>
      <c r="AL47" s="90"/>
      <c r="AM47" s="91"/>
      <c r="AN47" s="89"/>
      <c r="AO47" s="89"/>
      <c r="AP47" s="89"/>
      <c r="AQ47" s="90"/>
      <c r="AR47" s="91"/>
      <c r="AS47" s="89"/>
      <c r="AT47" s="89"/>
      <c r="AU47" s="89"/>
      <c r="AV47" s="90"/>
      <c r="AW47" s="91"/>
      <c r="AX47" s="89"/>
      <c r="AY47" s="89"/>
      <c r="AZ47" s="89"/>
      <c r="BA47" s="90"/>
      <c r="BB47" s="91"/>
      <c r="BC47" s="89"/>
      <c r="BD47" s="89"/>
      <c r="BE47" s="89"/>
      <c r="BF47" s="90"/>
      <c r="BG47" s="91"/>
      <c r="BH47" s="89"/>
      <c r="BI47" s="89"/>
      <c r="BJ47" s="89"/>
      <c r="BK47" s="90"/>
      <c r="BL47" s="91"/>
      <c r="BM47" s="89"/>
      <c r="BN47" s="89"/>
      <c r="BO47" s="89"/>
      <c r="BP47" s="90"/>
      <c r="BQ47" s="91"/>
      <c r="BR47" s="89"/>
      <c r="BS47" s="89"/>
      <c r="BT47" s="89"/>
      <c r="BU47" s="90"/>
      <c r="BV47" s="91"/>
    </row>
    <row r="48">
      <c r="A48" s="51"/>
      <c r="B48" s="109" t="s">
        <v>97</v>
      </c>
      <c r="C48" s="110" t="s">
        <v>98</v>
      </c>
      <c r="E48" s="54"/>
      <c r="F48" s="54"/>
      <c r="G48" s="111"/>
      <c r="H48" s="112"/>
      <c r="I48" s="112"/>
      <c r="J48" s="113"/>
      <c r="K48" s="55"/>
      <c r="L48" s="78"/>
      <c r="M48" s="79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114"/>
      <c r="BK48" s="114"/>
      <c r="BL48" s="114"/>
      <c r="BM48" s="114"/>
      <c r="BN48" s="114"/>
      <c r="BO48" s="114"/>
      <c r="BP48" s="114"/>
      <c r="BQ48" s="114"/>
      <c r="BR48" s="114"/>
      <c r="BS48" s="114"/>
      <c r="BT48" s="114"/>
      <c r="BU48" s="114"/>
      <c r="BV48" s="114"/>
    </row>
    <row r="49">
      <c r="A49" s="51"/>
      <c r="B49" s="60" t="s">
        <v>99</v>
      </c>
      <c r="C49" s="61" t="s">
        <v>100</v>
      </c>
      <c r="D49" s="62"/>
      <c r="E49" s="61"/>
      <c r="F49" s="62"/>
      <c r="G49" s="63" t="s">
        <v>49</v>
      </c>
      <c r="H49" s="64">
        <v>45940.0</v>
      </c>
      <c r="I49" s="64">
        <v>45950.0</v>
      </c>
      <c r="J49" s="65">
        <f t="shared" ref="J49:J51" si="20">days(I49,H49)</f>
        <v>10</v>
      </c>
      <c r="K49" s="123">
        <v>1.0</v>
      </c>
      <c r="L49" s="116"/>
      <c r="M49" s="117"/>
      <c r="N49" s="69"/>
      <c r="O49" s="69"/>
      <c r="P49" s="69"/>
      <c r="Q49" s="69"/>
      <c r="R49" s="70"/>
      <c r="S49" s="71"/>
      <c r="T49" s="69"/>
      <c r="U49" s="69"/>
      <c r="V49" s="69"/>
      <c r="W49" s="70"/>
      <c r="X49" s="69"/>
      <c r="Y49" s="69"/>
      <c r="Z49" s="69"/>
      <c r="AA49" s="69"/>
      <c r="AB49" s="70"/>
      <c r="AC49" s="71"/>
      <c r="AD49" s="69"/>
      <c r="AE49" s="69"/>
      <c r="AF49" s="69"/>
      <c r="AG49" s="70"/>
      <c r="AH49" s="71"/>
      <c r="AI49" s="69"/>
      <c r="AJ49" s="69"/>
      <c r="AK49" s="69"/>
      <c r="AL49" s="70"/>
      <c r="AM49" s="71"/>
      <c r="AN49" s="69"/>
      <c r="AO49" s="69"/>
      <c r="AP49" s="69"/>
      <c r="AQ49" s="70"/>
      <c r="AR49" s="71"/>
      <c r="AS49" s="69"/>
      <c r="AT49" s="69"/>
      <c r="AU49" s="69"/>
      <c r="AV49" s="70"/>
      <c r="AW49" s="71"/>
      <c r="AX49" s="69"/>
      <c r="AY49" s="69"/>
      <c r="AZ49" s="69"/>
      <c r="BA49" s="70"/>
      <c r="BB49" s="71"/>
      <c r="BC49" s="69"/>
      <c r="BD49" s="69"/>
      <c r="BE49" s="69"/>
      <c r="BF49" s="70"/>
      <c r="BG49" s="71"/>
      <c r="BH49" s="69"/>
      <c r="BI49" s="69"/>
      <c r="BJ49" s="69"/>
      <c r="BK49" s="70"/>
      <c r="BL49" s="71"/>
      <c r="BM49" s="69"/>
      <c r="BN49" s="69"/>
      <c r="BO49" s="69"/>
      <c r="BP49" s="70"/>
      <c r="BQ49" s="71"/>
      <c r="BR49" s="69"/>
      <c r="BS49" s="69"/>
      <c r="BT49" s="69"/>
      <c r="BU49" s="70"/>
      <c r="BV49" s="71"/>
    </row>
    <row r="50">
      <c r="A50" s="51"/>
      <c r="B50" s="60" t="s">
        <v>101</v>
      </c>
      <c r="C50" s="61" t="s">
        <v>102</v>
      </c>
      <c r="D50" s="62"/>
      <c r="E50" s="61" t="s">
        <v>103</v>
      </c>
      <c r="F50" s="62"/>
      <c r="G50" s="63" t="s">
        <v>49</v>
      </c>
      <c r="H50" s="64">
        <v>45950.0</v>
      </c>
      <c r="I50" s="64">
        <v>45956.0</v>
      </c>
      <c r="J50" s="65">
        <f t="shared" si="20"/>
        <v>6</v>
      </c>
      <c r="K50" s="123">
        <v>1.0</v>
      </c>
      <c r="L50" s="116"/>
      <c r="M50" s="117"/>
      <c r="N50" s="69"/>
      <c r="O50" s="69"/>
      <c r="P50" s="69"/>
      <c r="Q50" s="69"/>
      <c r="R50" s="70"/>
      <c r="S50" s="71"/>
      <c r="T50" s="69"/>
      <c r="U50" s="69"/>
      <c r="V50" s="69"/>
      <c r="W50" s="70"/>
      <c r="X50" s="69"/>
      <c r="Y50" s="69"/>
      <c r="Z50" s="69"/>
      <c r="AA50" s="69"/>
      <c r="AB50" s="70"/>
      <c r="AC50" s="71"/>
      <c r="AD50" s="69"/>
      <c r="AE50" s="69"/>
      <c r="AF50" s="69"/>
      <c r="AG50" s="70"/>
      <c r="AH50" s="71"/>
      <c r="AI50" s="69"/>
      <c r="AJ50" s="69"/>
      <c r="AK50" s="69"/>
      <c r="AL50" s="70"/>
      <c r="AM50" s="71"/>
      <c r="AN50" s="69"/>
      <c r="AO50" s="69"/>
      <c r="AP50" s="69"/>
      <c r="AQ50" s="70"/>
      <c r="AR50" s="71"/>
      <c r="AS50" s="69"/>
      <c r="AT50" s="69"/>
      <c r="AU50" s="69"/>
      <c r="AV50" s="70"/>
      <c r="AW50" s="71"/>
      <c r="AX50" s="69"/>
      <c r="AY50" s="69"/>
      <c r="AZ50" s="69"/>
      <c r="BA50" s="70"/>
      <c r="BB50" s="71"/>
      <c r="BC50" s="69"/>
      <c r="BD50" s="69"/>
      <c r="BE50" s="69"/>
      <c r="BF50" s="70"/>
      <c r="BG50" s="71"/>
      <c r="BH50" s="69"/>
      <c r="BI50" s="69"/>
      <c r="BJ50" s="69"/>
      <c r="BK50" s="70"/>
      <c r="BL50" s="71"/>
      <c r="BM50" s="69"/>
      <c r="BN50" s="69"/>
      <c r="BO50" s="69"/>
      <c r="BP50" s="70"/>
      <c r="BQ50" s="71"/>
      <c r="BR50" s="69"/>
      <c r="BS50" s="69"/>
      <c r="BT50" s="69"/>
      <c r="BU50" s="70"/>
      <c r="BV50" s="71"/>
    </row>
    <row r="51">
      <c r="A51" s="51"/>
      <c r="B51" s="118" t="s">
        <v>104</v>
      </c>
      <c r="C51" s="98" t="s">
        <v>105</v>
      </c>
      <c r="D51" s="62"/>
      <c r="E51" s="98" t="s">
        <v>87</v>
      </c>
      <c r="F51" s="62"/>
      <c r="G51" s="99" t="s">
        <v>49</v>
      </c>
      <c r="H51" s="100">
        <v>45953.0</v>
      </c>
      <c r="I51" s="100">
        <v>45957.0</v>
      </c>
      <c r="J51" s="101">
        <f t="shared" si="20"/>
        <v>4</v>
      </c>
      <c r="K51" s="123">
        <v>1.0</v>
      </c>
      <c r="L51" s="116"/>
      <c r="M51" s="117"/>
      <c r="N51" s="69"/>
      <c r="O51" s="69"/>
      <c r="P51" s="69"/>
      <c r="Q51" s="69"/>
      <c r="R51" s="70"/>
      <c r="S51" s="71"/>
      <c r="T51" s="69"/>
      <c r="U51" s="69"/>
      <c r="V51" s="69"/>
      <c r="W51" s="70"/>
      <c r="X51" s="69"/>
      <c r="Y51" s="69"/>
      <c r="Z51" s="69"/>
      <c r="AA51" s="69"/>
      <c r="AB51" s="70"/>
      <c r="AC51" s="71"/>
      <c r="AD51" s="69"/>
      <c r="AE51" s="69"/>
      <c r="AF51" s="69"/>
      <c r="AG51" s="70"/>
      <c r="AH51" s="71"/>
      <c r="AI51" s="69"/>
      <c r="AJ51" s="69"/>
      <c r="AK51" s="69"/>
      <c r="AL51" s="70"/>
      <c r="AM51" s="71"/>
      <c r="AN51" s="69"/>
      <c r="AO51" s="69"/>
      <c r="AP51" s="69"/>
      <c r="AQ51" s="70"/>
      <c r="AR51" s="71"/>
      <c r="AS51" s="69"/>
      <c r="AT51" s="69"/>
      <c r="AU51" s="69"/>
      <c r="AV51" s="70"/>
      <c r="AW51" s="71"/>
      <c r="AX51" s="69"/>
      <c r="AY51" s="69"/>
      <c r="AZ51" s="69"/>
      <c r="BA51" s="70"/>
      <c r="BB51" s="71"/>
      <c r="BC51" s="69"/>
      <c r="BD51" s="69"/>
      <c r="BE51" s="69"/>
      <c r="BF51" s="70"/>
      <c r="BG51" s="71"/>
      <c r="BH51" s="69"/>
      <c r="BI51" s="69"/>
      <c r="BJ51" s="69"/>
      <c r="BK51" s="70"/>
      <c r="BL51" s="71"/>
      <c r="BM51" s="69"/>
      <c r="BN51" s="69"/>
      <c r="BO51" s="69"/>
      <c r="BP51" s="70"/>
      <c r="BQ51" s="71"/>
      <c r="BR51" s="69"/>
      <c r="BS51" s="69"/>
      <c r="BT51" s="69"/>
      <c r="BU51" s="70"/>
      <c r="BV51" s="71"/>
    </row>
    <row r="52">
      <c r="A52" s="51"/>
      <c r="B52" s="52">
        <v>4.0</v>
      </c>
      <c r="C52" s="53" t="s">
        <v>106</v>
      </c>
      <c r="E52" s="54"/>
      <c r="F52" s="54"/>
      <c r="G52" s="55"/>
      <c r="H52" s="55"/>
      <c r="I52" s="55"/>
      <c r="J52" s="56"/>
      <c r="K52" s="55"/>
      <c r="L52" s="57"/>
      <c r="M52" s="57"/>
      <c r="N52" s="58"/>
      <c r="O52" s="57"/>
      <c r="P52" s="1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</row>
    <row r="53">
      <c r="A53" s="88"/>
      <c r="B53" s="103">
        <v>4.1</v>
      </c>
      <c r="C53" s="73" t="s">
        <v>107</v>
      </c>
      <c r="D53" s="74"/>
      <c r="E53" s="73" t="s">
        <v>108</v>
      </c>
      <c r="F53" s="74"/>
      <c r="G53" s="63" t="s">
        <v>53</v>
      </c>
      <c r="H53" s="75">
        <v>45957.0</v>
      </c>
      <c r="I53" s="75">
        <v>45966.0</v>
      </c>
      <c r="J53" s="76">
        <f>days(I53,H53)</f>
        <v>9</v>
      </c>
      <c r="K53" s="126">
        <v>1.0</v>
      </c>
      <c r="L53" s="78"/>
      <c r="M53" s="79"/>
      <c r="N53" s="89"/>
      <c r="O53" s="89"/>
      <c r="P53" s="89"/>
      <c r="Q53" s="89"/>
      <c r="R53" s="90"/>
      <c r="S53" s="91"/>
      <c r="T53" s="89"/>
      <c r="U53" s="89"/>
      <c r="V53" s="89"/>
      <c r="W53" s="90"/>
      <c r="X53" s="91"/>
      <c r="Y53" s="89"/>
      <c r="Z53" s="89"/>
      <c r="AA53" s="89"/>
      <c r="AB53" s="90"/>
      <c r="AC53" s="91"/>
      <c r="AD53" s="89"/>
      <c r="AE53" s="89"/>
      <c r="AF53" s="89"/>
      <c r="AG53" s="90"/>
      <c r="AH53" s="91"/>
      <c r="AI53" s="89"/>
      <c r="AJ53" s="89"/>
      <c r="AK53" s="89"/>
      <c r="AL53" s="90"/>
      <c r="AM53" s="91"/>
      <c r="AN53" s="89"/>
      <c r="AO53" s="89"/>
      <c r="AP53" s="89"/>
      <c r="AQ53" s="90"/>
      <c r="AR53" s="91"/>
      <c r="AS53" s="89"/>
      <c r="AT53" s="89"/>
      <c r="AU53" s="89"/>
      <c r="AV53" s="90"/>
      <c r="AW53" s="91"/>
      <c r="AX53" s="89"/>
      <c r="AY53" s="89"/>
      <c r="AZ53" s="89"/>
      <c r="BA53" s="90"/>
      <c r="BB53" s="91"/>
      <c r="BC53" s="89"/>
      <c r="BD53" s="89"/>
      <c r="BE53" s="89"/>
      <c r="BF53" s="90"/>
      <c r="BG53" s="127"/>
      <c r="BH53" s="128"/>
      <c r="BI53" s="128"/>
      <c r="BJ53" s="128"/>
      <c r="BK53" s="129"/>
      <c r="BL53" s="130"/>
      <c r="BM53" s="128"/>
      <c r="BN53" s="128"/>
      <c r="BO53" s="89"/>
      <c r="BP53" s="90"/>
      <c r="BQ53" s="91"/>
      <c r="BR53" s="89"/>
      <c r="BS53" s="89"/>
      <c r="BT53" s="89"/>
      <c r="BU53" s="90"/>
      <c r="BV53" s="91"/>
    </row>
    <row r="54">
      <c r="A54" s="88"/>
      <c r="B54" s="83"/>
      <c r="C54" s="84"/>
      <c r="D54" s="85"/>
      <c r="E54" s="84"/>
      <c r="F54" s="85"/>
      <c r="G54" s="63" t="s">
        <v>109</v>
      </c>
      <c r="H54" s="83"/>
      <c r="I54" s="83"/>
      <c r="J54" s="83"/>
      <c r="K54" s="83"/>
      <c r="L54" s="78"/>
      <c r="M54" s="79"/>
      <c r="N54" s="89"/>
      <c r="O54" s="89"/>
      <c r="P54" s="89"/>
      <c r="Q54" s="89"/>
      <c r="R54" s="90"/>
      <c r="S54" s="91"/>
      <c r="T54" s="89"/>
      <c r="U54" s="89"/>
      <c r="V54" s="89"/>
      <c r="W54" s="90"/>
      <c r="X54" s="91"/>
      <c r="Y54" s="89"/>
      <c r="Z54" s="89"/>
      <c r="AA54" s="89"/>
      <c r="AB54" s="90"/>
      <c r="AC54" s="91"/>
      <c r="AD54" s="89"/>
      <c r="AE54" s="89"/>
      <c r="AF54" s="89"/>
      <c r="AG54" s="90"/>
      <c r="AH54" s="91"/>
      <c r="AI54" s="89"/>
      <c r="AJ54" s="89"/>
      <c r="AK54" s="89"/>
      <c r="AL54" s="90"/>
      <c r="AM54" s="91"/>
      <c r="AN54" s="89"/>
      <c r="AO54" s="89"/>
      <c r="AP54" s="89"/>
      <c r="AQ54" s="90"/>
      <c r="AR54" s="91"/>
      <c r="AS54" s="89"/>
      <c r="AT54" s="89"/>
      <c r="AU54" s="89"/>
      <c r="AV54" s="90"/>
      <c r="AW54" s="91"/>
      <c r="AX54" s="89"/>
      <c r="AY54" s="89"/>
      <c r="AZ54" s="89"/>
      <c r="BA54" s="90"/>
      <c r="BB54" s="91"/>
      <c r="BC54" s="89"/>
      <c r="BD54" s="89"/>
      <c r="BE54" s="89"/>
      <c r="BF54" s="90"/>
      <c r="BG54" s="85"/>
      <c r="BH54" s="83"/>
      <c r="BI54" s="83"/>
      <c r="BJ54" s="83"/>
      <c r="BK54" s="86"/>
      <c r="BL54" s="85"/>
      <c r="BM54" s="83"/>
      <c r="BN54" s="83"/>
      <c r="BO54" s="89"/>
      <c r="BP54" s="90"/>
      <c r="BQ54" s="91"/>
      <c r="BR54" s="89"/>
      <c r="BS54" s="89"/>
      <c r="BT54" s="89"/>
      <c r="BU54" s="90"/>
      <c r="BV54" s="91"/>
    </row>
    <row r="55">
      <c r="A55" s="88"/>
      <c r="B55" s="63">
        <v>4.2</v>
      </c>
      <c r="C55" s="61" t="s">
        <v>110</v>
      </c>
      <c r="D55" s="62"/>
      <c r="E55" s="61" t="s">
        <v>108</v>
      </c>
      <c r="F55" s="62"/>
      <c r="G55" s="63" t="s">
        <v>63</v>
      </c>
      <c r="H55" s="64">
        <v>45964.0</v>
      </c>
      <c r="I55" s="64">
        <v>45966.0</v>
      </c>
      <c r="J55" s="65">
        <f t="shared" ref="J55:J56" si="21">days(I55,H55)</f>
        <v>2</v>
      </c>
      <c r="K55" s="123">
        <v>1.0</v>
      </c>
      <c r="L55" s="78"/>
      <c r="M55" s="79"/>
      <c r="N55" s="89"/>
      <c r="O55" s="89"/>
      <c r="P55" s="89"/>
      <c r="Q55" s="89"/>
      <c r="R55" s="90"/>
      <c r="S55" s="91"/>
      <c r="T55" s="89"/>
      <c r="U55" s="89"/>
      <c r="V55" s="89"/>
      <c r="W55" s="90"/>
      <c r="X55" s="91"/>
      <c r="Y55" s="89"/>
      <c r="Z55" s="89"/>
      <c r="AA55" s="89"/>
      <c r="AB55" s="90"/>
      <c r="AC55" s="91"/>
      <c r="AD55" s="89"/>
      <c r="AE55" s="89"/>
      <c r="AF55" s="89"/>
      <c r="AG55" s="90"/>
      <c r="AH55" s="91"/>
      <c r="AI55" s="89"/>
      <c r="AJ55" s="89"/>
      <c r="AK55" s="89"/>
      <c r="AL55" s="90"/>
      <c r="AM55" s="91"/>
      <c r="AN55" s="89"/>
      <c r="AO55" s="89"/>
      <c r="AP55" s="89"/>
      <c r="AQ55" s="90"/>
      <c r="AR55" s="91"/>
      <c r="AS55" s="89"/>
      <c r="AT55" s="89"/>
      <c r="AU55" s="89"/>
      <c r="AV55" s="90"/>
      <c r="AW55" s="91"/>
      <c r="AX55" s="89"/>
      <c r="AY55" s="89"/>
      <c r="AZ55" s="89"/>
      <c r="BA55" s="90"/>
      <c r="BB55" s="91"/>
      <c r="BC55" s="89"/>
      <c r="BD55" s="89"/>
      <c r="BE55" s="89"/>
      <c r="BF55" s="90"/>
      <c r="BG55" s="91"/>
      <c r="BH55" s="89"/>
      <c r="BI55" s="89"/>
      <c r="BJ55" s="89"/>
      <c r="BK55" s="90"/>
      <c r="BL55" s="91"/>
      <c r="BM55" s="89"/>
      <c r="BN55" s="89"/>
      <c r="BO55" s="89"/>
      <c r="BP55" s="90"/>
      <c r="BQ55" s="91"/>
      <c r="BR55" s="89"/>
      <c r="BS55" s="89"/>
      <c r="BT55" s="89"/>
      <c r="BU55" s="90"/>
      <c r="BV55" s="91"/>
    </row>
    <row r="56">
      <c r="A56" s="51"/>
      <c r="B56" s="103">
        <v>4.3</v>
      </c>
      <c r="C56" s="73" t="s">
        <v>111</v>
      </c>
      <c r="D56" s="74"/>
      <c r="E56" s="73" t="s">
        <v>112</v>
      </c>
      <c r="F56" s="74"/>
      <c r="G56" s="63" t="s">
        <v>54</v>
      </c>
      <c r="H56" s="75">
        <v>45966.0</v>
      </c>
      <c r="I56" s="75">
        <v>45969.0</v>
      </c>
      <c r="J56" s="76">
        <f t="shared" si="21"/>
        <v>3</v>
      </c>
      <c r="K56" s="131">
        <v>1.0</v>
      </c>
      <c r="L56" s="78"/>
      <c r="M56" s="79"/>
      <c r="N56" s="69"/>
      <c r="O56" s="69"/>
      <c r="P56" s="69"/>
      <c r="Q56" s="69"/>
      <c r="R56" s="70"/>
      <c r="S56" s="71"/>
      <c r="T56" s="69"/>
      <c r="U56" s="69"/>
      <c r="V56" s="69"/>
      <c r="W56" s="70"/>
      <c r="X56" s="69"/>
      <c r="Y56" s="69"/>
      <c r="Z56" s="69"/>
      <c r="AA56" s="69"/>
      <c r="AB56" s="70"/>
      <c r="AC56" s="71"/>
      <c r="AD56" s="69"/>
      <c r="AE56" s="69"/>
      <c r="AF56" s="69"/>
      <c r="AG56" s="70"/>
      <c r="AH56" s="71"/>
      <c r="AI56" s="69"/>
      <c r="AJ56" s="69"/>
      <c r="AK56" s="69"/>
      <c r="AL56" s="70"/>
      <c r="AM56" s="71"/>
      <c r="AN56" s="69"/>
      <c r="AO56" s="69"/>
      <c r="AP56" s="69"/>
      <c r="AQ56" s="70"/>
      <c r="AR56" s="71"/>
      <c r="AS56" s="69"/>
      <c r="AT56" s="69"/>
      <c r="AU56" s="69"/>
      <c r="AV56" s="70"/>
      <c r="AW56" s="71"/>
      <c r="AX56" s="69"/>
      <c r="AY56" s="69"/>
      <c r="AZ56" s="69"/>
      <c r="BA56" s="70"/>
      <c r="BB56" s="71"/>
      <c r="BC56" s="69"/>
      <c r="BD56" s="69"/>
      <c r="BE56" s="69"/>
      <c r="BF56" s="70"/>
      <c r="BG56" s="71"/>
      <c r="BH56" s="69"/>
      <c r="BI56" s="69"/>
      <c r="BJ56" s="69"/>
      <c r="BK56" s="70"/>
      <c r="BL56" s="71"/>
      <c r="BM56" s="69"/>
      <c r="BN56" s="69"/>
      <c r="BO56" s="69"/>
      <c r="BP56" s="70"/>
      <c r="BQ56" s="71"/>
      <c r="BR56" s="69"/>
      <c r="BS56" s="69"/>
      <c r="BT56" s="69"/>
      <c r="BU56" s="70"/>
      <c r="BV56" s="71"/>
    </row>
    <row r="57">
      <c r="A57" s="51"/>
      <c r="B57" s="83"/>
      <c r="C57" s="84"/>
      <c r="D57" s="85"/>
      <c r="E57" s="84"/>
      <c r="F57" s="85"/>
      <c r="G57" s="132" t="s">
        <v>63</v>
      </c>
      <c r="H57" s="83"/>
      <c r="I57" s="83"/>
      <c r="J57" s="83"/>
      <c r="K57" s="83"/>
      <c r="L57" s="78"/>
      <c r="M57" s="7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>
      <c r="A58" s="51"/>
      <c r="B58" s="52" t="s">
        <v>113</v>
      </c>
      <c r="C58" s="53" t="s">
        <v>114</v>
      </c>
      <c r="E58" s="54"/>
      <c r="F58" s="54"/>
      <c r="G58" s="55"/>
      <c r="H58" s="55"/>
      <c r="I58" s="55"/>
      <c r="J58" s="56"/>
      <c r="K58" s="55"/>
      <c r="L58" s="78"/>
      <c r="M58" s="79"/>
      <c r="N58" s="58"/>
      <c r="O58" s="57"/>
      <c r="P58" s="1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</row>
    <row r="59">
      <c r="A59" s="51"/>
      <c r="B59" s="60" t="s">
        <v>115</v>
      </c>
      <c r="C59" s="61" t="s">
        <v>116</v>
      </c>
      <c r="D59" s="62"/>
      <c r="E59" s="61" t="s">
        <v>117</v>
      </c>
      <c r="F59" s="62"/>
      <c r="G59" s="63" t="s">
        <v>63</v>
      </c>
      <c r="H59" s="64">
        <v>45962.0</v>
      </c>
      <c r="I59" s="64">
        <v>45969.0</v>
      </c>
      <c r="J59" s="65">
        <f t="shared" ref="J59:J60" si="22">days(I59,H59)</f>
        <v>7</v>
      </c>
      <c r="K59" s="122">
        <v>1.0</v>
      </c>
      <c r="L59" s="78"/>
      <c r="M59" s="79"/>
      <c r="N59" s="69"/>
      <c r="O59" s="69"/>
      <c r="P59" s="69"/>
      <c r="Q59" s="69"/>
      <c r="R59" s="70"/>
      <c r="S59" s="71"/>
      <c r="T59" s="69"/>
      <c r="U59" s="69"/>
      <c r="V59" s="69"/>
      <c r="W59" s="70"/>
      <c r="X59" s="69"/>
      <c r="Y59" s="69"/>
      <c r="Z59" s="69"/>
      <c r="AA59" s="69"/>
      <c r="AB59" s="70"/>
      <c r="AC59" s="71"/>
      <c r="AD59" s="69"/>
      <c r="AE59" s="69"/>
      <c r="AF59" s="69"/>
      <c r="AG59" s="70"/>
      <c r="AH59" s="71"/>
      <c r="AI59" s="69"/>
      <c r="AJ59" s="69"/>
      <c r="AK59" s="69"/>
      <c r="AL59" s="70"/>
      <c r="AM59" s="71"/>
      <c r="AN59" s="69"/>
      <c r="AO59" s="69"/>
      <c r="AP59" s="69"/>
      <c r="AQ59" s="70"/>
      <c r="AR59" s="71"/>
      <c r="AS59" s="69"/>
      <c r="AT59" s="69"/>
      <c r="AU59" s="69"/>
      <c r="AV59" s="70"/>
      <c r="AW59" s="71"/>
      <c r="AX59" s="69"/>
      <c r="AY59" s="69"/>
      <c r="AZ59" s="69"/>
      <c r="BA59" s="70"/>
      <c r="BB59" s="71"/>
      <c r="BC59" s="69"/>
      <c r="BD59" s="69"/>
      <c r="BE59" s="69"/>
      <c r="BF59" s="70"/>
      <c r="BG59" s="71"/>
      <c r="BH59" s="69"/>
      <c r="BI59" s="69"/>
      <c r="BJ59" s="69"/>
      <c r="BK59" s="70"/>
      <c r="BL59" s="71"/>
      <c r="BM59" s="69"/>
      <c r="BN59" s="69"/>
      <c r="BO59" s="69"/>
      <c r="BP59" s="70"/>
      <c r="BQ59" s="71"/>
      <c r="BR59" s="69"/>
      <c r="BS59" s="69"/>
      <c r="BT59" s="69"/>
      <c r="BU59" s="70"/>
      <c r="BV59" s="71"/>
    </row>
    <row r="60">
      <c r="A60" s="51"/>
      <c r="B60" s="72" t="s">
        <v>118</v>
      </c>
      <c r="C60" s="73" t="s">
        <v>119</v>
      </c>
      <c r="D60" s="74"/>
      <c r="E60" s="73" t="s">
        <v>120</v>
      </c>
      <c r="F60" s="74"/>
      <c r="G60" s="63" t="s">
        <v>54</v>
      </c>
      <c r="H60" s="75">
        <v>45962.0</v>
      </c>
      <c r="I60" s="75">
        <v>45969.0</v>
      </c>
      <c r="J60" s="76">
        <f t="shared" si="22"/>
        <v>7</v>
      </c>
      <c r="K60" s="126">
        <v>1.0</v>
      </c>
      <c r="L60" s="116"/>
      <c r="M60" s="117"/>
      <c r="N60" s="69"/>
      <c r="O60" s="69"/>
      <c r="P60" s="69"/>
      <c r="Q60" s="69"/>
      <c r="R60" s="70"/>
      <c r="S60" s="71"/>
      <c r="T60" s="69"/>
      <c r="U60" s="69"/>
      <c r="V60" s="69"/>
      <c r="W60" s="70"/>
      <c r="X60" s="69"/>
      <c r="Y60" s="69"/>
      <c r="Z60" s="69"/>
      <c r="AA60" s="69"/>
      <c r="AB60" s="70"/>
      <c r="AC60" s="71"/>
      <c r="AD60" s="69"/>
      <c r="AE60" s="69"/>
      <c r="AF60" s="69"/>
      <c r="AG60" s="70"/>
      <c r="AH60" s="71"/>
      <c r="AI60" s="69"/>
      <c r="AJ60" s="69"/>
      <c r="AK60" s="69"/>
      <c r="AL60" s="70"/>
      <c r="AM60" s="71"/>
      <c r="AN60" s="69"/>
      <c r="AO60" s="69"/>
      <c r="AP60" s="69"/>
      <c r="AQ60" s="70"/>
      <c r="AR60" s="71"/>
      <c r="AS60" s="69"/>
      <c r="AT60" s="69"/>
      <c r="AU60" s="69"/>
      <c r="AV60" s="70"/>
      <c r="AW60" s="71"/>
      <c r="AX60" s="69"/>
      <c r="AY60" s="69"/>
      <c r="AZ60" s="69"/>
      <c r="BA60" s="70"/>
      <c r="BB60" s="71"/>
      <c r="BC60" s="69"/>
      <c r="BD60" s="69"/>
      <c r="BE60" s="69"/>
      <c r="BF60" s="70"/>
      <c r="BG60" s="71"/>
      <c r="BH60" s="69"/>
      <c r="BI60" s="69"/>
      <c r="BJ60" s="69"/>
      <c r="BK60" s="70"/>
      <c r="BL60" s="82"/>
      <c r="BM60" s="80"/>
      <c r="BN60" s="80"/>
      <c r="BO60" s="80"/>
      <c r="BP60" s="81"/>
      <c r="BQ60" s="71"/>
      <c r="BR60" s="69"/>
      <c r="BS60" s="69"/>
      <c r="BT60" s="69"/>
      <c r="BU60" s="70"/>
      <c r="BV60" s="71"/>
    </row>
    <row r="61">
      <c r="A61" s="51"/>
      <c r="B61" s="83"/>
      <c r="C61" s="84"/>
      <c r="D61" s="85"/>
      <c r="E61" s="84"/>
      <c r="F61" s="85"/>
      <c r="G61" s="63" t="s">
        <v>63</v>
      </c>
      <c r="H61" s="83"/>
      <c r="I61" s="83"/>
      <c r="J61" s="83"/>
      <c r="K61" s="83"/>
      <c r="L61" s="116"/>
      <c r="M61" s="117"/>
      <c r="N61" s="69"/>
      <c r="O61" s="69"/>
      <c r="P61" s="69"/>
      <c r="Q61" s="69"/>
      <c r="R61" s="70"/>
      <c r="S61" s="71"/>
      <c r="T61" s="69"/>
      <c r="U61" s="69"/>
      <c r="V61" s="69"/>
      <c r="W61" s="70"/>
      <c r="X61" s="71"/>
      <c r="Y61" s="69"/>
      <c r="Z61" s="69"/>
      <c r="AA61" s="69"/>
      <c r="AB61" s="70"/>
      <c r="AC61" s="71"/>
      <c r="AD61" s="69"/>
      <c r="AE61" s="69"/>
      <c r="AF61" s="69"/>
      <c r="AG61" s="70"/>
      <c r="AH61" s="71"/>
      <c r="AI61" s="69"/>
      <c r="AJ61" s="69"/>
      <c r="AK61" s="69"/>
      <c r="AL61" s="70"/>
      <c r="AM61" s="71"/>
      <c r="AN61" s="69"/>
      <c r="AO61" s="69"/>
      <c r="AP61" s="69"/>
      <c r="AQ61" s="70"/>
      <c r="AR61" s="71"/>
      <c r="AS61" s="69"/>
      <c r="AT61" s="69"/>
      <c r="AU61" s="69"/>
      <c r="AV61" s="70"/>
      <c r="AW61" s="71"/>
      <c r="AX61" s="69"/>
      <c r="AY61" s="69"/>
      <c r="AZ61" s="69"/>
      <c r="BA61" s="70"/>
      <c r="BB61" s="71"/>
      <c r="BC61" s="69"/>
      <c r="BD61" s="69"/>
      <c r="BE61" s="69"/>
      <c r="BF61" s="70"/>
      <c r="BG61" s="71"/>
      <c r="BH61" s="69"/>
      <c r="BI61" s="69"/>
      <c r="BJ61" s="69"/>
      <c r="BK61" s="70"/>
      <c r="BL61" s="85"/>
      <c r="BM61" s="83"/>
      <c r="BN61" s="83"/>
      <c r="BO61" s="83"/>
      <c r="BP61" s="86"/>
      <c r="BQ61" s="71"/>
      <c r="BR61" s="69"/>
      <c r="BS61" s="69"/>
      <c r="BT61" s="69"/>
      <c r="BU61" s="70"/>
      <c r="BV61" s="71"/>
    </row>
    <row r="62">
      <c r="A62" s="88"/>
      <c r="B62" s="60" t="s">
        <v>121</v>
      </c>
      <c r="C62" s="61" t="s">
        <v>122</v>
      </c>
      <c r="D62" s="62"/>
      <c r="E62" s="61" t="s">
        <v>123</v>
      </c>
      <c r="F62" s="62"/>
      <c r="G62" s="63" t="s">
        <v>54</v>
      </c>
      <c r="H62" s="64">
        <v>45962.0</v>
      </c>
      <c r="I62" s="64">
        <v>45969.0</v>
      </c>
      <c r="J62" s="65">
        <f t="shared" ref="J62:J65" si="23">days(I62,H62)</f>
        <v>7</v>
      </c>
      <c r="K62" s="123">
        <v>1.0</v>
      </c>
      <c r="L62" s="78"/>
      <c r="M62" s="79"/>
      <c r="N62" s="89"/>
      <c r="O62" s="89"/>
      <c r="P62" s="89"/>
      <c r="Q62" s="89"/>
      <c r="R62" s="90"/>
      <c r="S62" s="91"/>
      <c r="T62" s="89"/>
      <c r="U62" s="89"/>
      <c r="V62" s="89"/>
      <c r="W62" s="90"/>
      <c r="X62" s="91"/>
      <c r="Y62" s="89"/>
      <c r="Z62" s="89"/>
      <c r="AA62" s="89"/>
      <c r="AB62" s="90"/>
      <c r="AC62" s="91"/>
      <c r="AD62" s="89"/>
      <c r="AE62" s="89"/>
      <c r="AF62" s="89"/>
      <c r="AG62" s="90"/>
      <c r="AH62" s="91"/>
      <c r="AI62" s="89"/>
      <c r="AJ62" s="89"/>
      <c r="AK62" s="89"/>
      <c r="AL62" s="90"/>
      <c r="AM62" s="91"/>
      <c r="AN62" s="89"/>
      <c r="AO62" s="89"/>
      <c r="AP62" s="89"/>
      <c r="AQ62" s="90"/>
      <c r="AR62" s="91"/>
      <c r="AS62" s="89"/>
      <c r="AT62" s="89"/>
      <c r="AU62" s="89"/>
      <c r="AV62" s="90"/>
      <c r="AW62" s="91"/>
      <c r="AX62" s="89"/>
      <c r="AY62" s="89"/>
      <c r="AZ62" s="89"/>
      <c r="BA62" s="90"/>
      <c r="BB62" s="91"/>
      <c r="BC62" s="89"/>
      <c r="BD62" s="89"/>
      <c r="BE62" s="89"/>
      <c r="BF62" s="90"/>
      <c r="BG62" s="91"/>
      <c r="BH62" s="89"/>
      <c r="BI62" s="89"/>
      <c r="BJ62" s="89"/>
      <c r="BK62" s="90"/>
      <c r="BL62" s="91"/>
      <c r="BM62" s="89"/>
      <c r="BN62" s="89"/>
      <c r="BO62" s="89"/>
      <c r="BP62" s="90"/>
      <c r="BQ62" s="91"/>
      <c r="BR62" s="89"/>
      <c r="BS62" s="89"/>
      <c r="BT62" s="89"/>
      <c r="BU62" s="90"/>
      <c r="BV62" s="91"/>
    </row>
    <row r="63">
      <c r="A63" s="51"/>
      <c r="B63" s="118" t="s">
        <v>124</v>
      </c>
      <c r="C63" s="98" t="s">
        <v>125</v>
      </c>
      <c r="D63" s="62"/>
      <c r="E63" s="98" t="s">
        <v>87</v>
      </c>
      <c r="F63" s="62"/>
      <c r="G63" s="99" t="s">
        <v>49</v>
      </c>
      <c r="H63" s="100">
        <v>45971.0</v>
      </c>
      <c r="I63" s="100">
        <v>45971.0</v>
      </c>
      <c r="J63" s="101">
        <f t="shared" si="23"/>
        <v>0</v>
      </c>
      <c r="K63" s="123">
        <v>1.0</v>
      </c>
      <c r="L63" s="133"/>
      <c r="M63" s="134"/>
      <c r="N63" s="69"/>
      <c r="O63" s="69"/>
      <c r="P63" s="69"/>
      <c r="Q63" s="69"/>
      <c r="R63" s="70"/>
      <c r="S63" s="71"/>
      <c r="T63" s="69"/>
      <c r="U63" s="69"/>
      <c r="V63" s="69"/>
      <c r="W63" s="70"/>
      <c r="X63" s="69"/>
      <c r="Y63" s="69"/>
      <c r="Z63" s="69"/>
      <c r="AA63" s="69"/>
      <c r="AB63" s="70"/>
      <c r="AC63" s="71"/>
      <c r="AD63" s="69"/>
      <c r="AE63" s="69"/>
      <c r="AF63" s="69"/>
      <c r="AG63" s="70"/>
      <c r="AH63" s="71"/>
      <c r="AI63" s="69"/>
      <c r="AJ63" s="69"/>
      <c r="AK63" s="69"/>
      <c r="AL63" s="70"/>
      <c r="AM63" s="71"/>
      <c r="AN63" s="69"/>
      <c r="AO63" s="69"/>
      <c r="AP63" s="69"/>
      <c r="AQ63" s="70"/>
      <c r="AR63" s="71"/>
      <c r="AS63" s="69"/>
      <c r="AT63" s="69"/>
      <c r="AU63" s="69"/>
      <c r="AV63" s="70"/>
      <c r="AW63" s="71"/>
      <c r="AX63" s="69"/>
      <c r="AY63" s="69"/>
      <c r="AZ63" s="69"/>
      <c r="BA63" s="70"/>
      <c r="BB63" s="71"/>
      <c r="BC63" s="69"/>
      <c r="BD63" s="69"/>
      <c r="BE63" s="69"/>
      <c r="BF63" s="70"/>
      <c r="BG63" s="71"/>
      <c r="BH63" s="69"/>
      <c r="BI63" s="69"/>
      <c r="BJ63" s="69"/>
      <c r="BK63" s="70"/>
      <c r="BL63" s="71"/>
      <c r="BM63" s="69"/>
      <c r="BN63" s="69"/>
      <c r="BO63" s="69"/>
      <c r="BP63" s="70"/>
      <c r="BQ63" s="71"/>
      <c r="BR63" s="69"/>
      <c r="BS63" s="69"/>
      <c r="BT63" s="69"/>
      <c r="BU63" s="70"/>
      <c r="BV63" s="3"/>
    </row>
    <row r="64">
      <c r="A64" s="51"/>
      <c r="B64" s="60" t="s">
        <v>124</v>
      </c>
      <c r="C64" s="61" t="s">
        <v>126</v>
      </c>
      <c r="D64" s="62"/>
      <c r="E64" s="61" t="s">
        <v>127</v>
      </c>
      <c r="F64" s="62"/>
      <c r="G64" s="63" t="s">
        <v>49</v>
      </c>
      <c r="H64" s="64">
        <v>45971.0</v>
      </c>
      <c r="I64" s="64">
        <v>45978.0</v>
      </c>
      <c r="J64" s="65">
        <f t="shared" si="23"/>
        <v>7</v>
      </c>
      <c r="K64" s="115">
        <v>0.0</v>
      </c>
      <c r="L64" s="133"/>
      <c r="M64" s="134"/>
      <c r="N64" s="69"/>
      <c r="O64" s="69"/>
      <c r="P64" s="69"/>
      <c r="Q64" s="69"/>
      <c r="R64" s="70"/>
      <c r="S64" s="71"/>
      <c r="T64" s="69"/>
      <c r="U64" s="69"/>
      <c r="V64" s="69"/>
      <c r="W64" s="70"/>
      <c r="X64" s="69"/>
      <c r="Y64" s="69"/>
      <c r="Z64" s="69"/>
      <c r="AA64" s="69"/>
      <c r="AB64" s="70"/>
      <c r="AC64" s="71"/>
      <c r="AD64" s="69"/>
      <c r="AE64" s="69"/>
      <c r="AF64" s="69"/>
      <c r="AG64" s="70"/>
      <c r="AH64" s="71"/>
      <c r="AI64" s="69"/>
      <c r="AJ64" s="69"/>
      <c r="AK64" s="69"/>
      <c r="AL64" s="70"/>
      <c r="AM64" s="71"/>
      <c r="AN64" s="69"/>
      <c r="AO64" s="69"/>
      <c r="AP64" s="69"/>
      <c r="AQ64" s="70"/>
      <c r="AR64" s="71"/>
      <c r="AS64" s="69"/>
      <c r="AT64" s="69"/>
      <c r="AU64" s="69"/>
      <c r="AV64" s="70"/>
      <c r="AW64" s="71"/>
      <c r="AX64" s="69"/>
      <c r="AY64" s="69"/>
      <c r="AZ64" s="69"/>
      <c r="BA64" s="70"/>
      <c r="BB64" s="71"/>
      <c r="BC64" s="69"/>
      <c r="BD64" s="69"/>
      <c r="BE64" s="69"/>
      <c r="BF64" s="70"/>
      <c r="BG64" s="71"/>
      <c r="BH64" s="69"/>
      <c r="BI64" s="69"/>
      <c r="BJ64" s="69"/>
      <c r="BK64" s="70"/>
      <c r="BL64" s="71"/>
      <c r="BM64" s="69"/>
      <c r="BN64" s="69"/>
      <c r="BO64" s="69"/>
      <c r="BP64" s="70"/>
      <c r="BQ64" s="71"/>
      <c r="BR64" s="69"/>
      <c r="BS64" s="69"/>
      <c r="BT64" s="69"/>
      <c r="BU64" s="70"/>
      <c r="BV64" s="3"/>
    </row>
    <row r="65">
      <c r="A65" s="51"/>
      <c r="B65" s="118" t="s">
        <v>124</v>
      </c>
      <c r="C65" s="98" t="s">
        <v>128</v>
      </c>
      <c r="D65" s="62"/>
      <c r="E65" s="98" t="s">
        <v>87</v>
      </c>
      <c r="F65" s="62"/>
      <c r="G65" s="99" t="s">
        <v>49</v>
      </c>
      <c r="H65" s="100">
        <v>45978.0</v>
      </c>
      <c r="I65" s="100">
        <v>45978.0</v>
      </c>
      <c r="J65" s="101">
        <f t="shared" si="23"/>
        <v>0</v>
      </c>
      <c r="K65" s="123">
        <v>0.0</v>
      </c>
      <c r="L65" s="133"/>
      <c r="M65" s="134"/>
      <c r="N65" s="69"/>
      <c r="O65" s="69"/>
      <c r="P65" s="69"/>
      <c r="Q65" s="69"/>
      <c r="R65" s="70"/>
      <c r="S65" s="71"/>
      <c r="T65" s="69"/>
      <c r="U65" s="69"/>
      <c r="V65" s="69"/>
      <c r="W65" s="70"/>
      <c r="X65" s="69"/>
      <c r="Y65" s="69"/>
      <c r="Z65" s="69"/>
      <c r="AA65" s="69"/>
      <c r="AB65" s="70"/>
      <c r="AC65" s="71"/>
      <c r="AD65" s="69"/>
      <c r="AE65" s="69"/>
      <c r="AF65" s="69"/>
      <c r="AG65" s="70"/>
      <c r="AH65" s="71"/>
      <c r="AI65" s="69"/>
      <c r="AJ65" s="69"/>
      <c r="AK65" s="69"/>
      <c r="AL65" s="70"/>
      <c r="AM65" s="71"/>
      <c r="AN65" s="69"/>
      <c r="AO65" s="69"/>
      <c r="AP65" s="69"/>
      <c r="AQ65" s="70"/>
      <c r="AR65" s="71"/>
      <c r="AS65" s="69"/>
      <c r="AT65" s="69"/>
      <c r="AU65" s="69"/>
      <c r="AV65" s="70"/>
      <c r="AW65" s="71"/>
      <c r="AX65" s="69"/>
      <c r="AY65" s="69"/>
      <c r="AZ65" s="69"/>
      <c r="BA65" s="70"/>
      <c r="BB65" s="71"/>
      <c r="BC65" s="69"/>
      <c r="BD65" s="69"/>
      <c r="BE65" s="69"/>
      <c r="BF65" s="70"/>
      <c r="BG65" s="71"/>
      <c r="BH65" s="69"/>
      <c r="BI65" s="69"/>
      <c r="BJ65" s="69"/>
      <c r="BK65" s="70"/>
      <c r="BL65" s="71"/>
      <c r="BM65" s="69"/>
      <c r="BN65" s="69"/>
      <c r="BO65" s="69"/>
      <c r="BP65" s="70"/>
      <c r="BQ65" s="71"/>
      <c r="BR65" s="69"/>
      <c r="BS65" s="69"/>
      <c r="BT65" s="69"/>
      <c r="BU65" s="70"/>
      <c r="BV65" s="3"/>
    </row>
    <row r="66">
      <c r="A66" s="51"/>
      <c r="B66" s="135"/>
      <c r="C66" s="136"/>
      <c r="D66" s="137"/>
      <c r="E66" s="138"/>
      <c r="F66" s="138"/>
      <c r="G66" s="139"/>
      <c r="H66" s="140"/>
      <c r="I66" s="140"/>
      <c r="J66" s="141"/>
      <c r="K66" s="142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  <c r="AZ66" s="114"/>
      <c r="BA66" s="114"/>
      <c r="BB66" s="114"/>
      <c r="BC66" s="114"/>
      <c r="BD66" s="114"/>
      <c r="BE66" s="114"/>
      <c r="BF66" s="114"/>
      <c r="BG66" s="114"/>
      <c r="BH66" s="114"/>
      <c r="BI66" s="114"/>
      <c r="BJ66" s="114"/>
      <c r="BK66" s="114"/>
      <c r="BL66" s="114"/>
      <c r="BM66" s="114"/>
      <c r="BN66" s="114"/>
      <c r="BO66" s="114"/>
      <c r="BP66" s="114"/>
      <c r="BQ66" s="114"/>
      <c r="BR66" s="114"/>
      <c r="BS66" s="114"/>
      <c r="BT66" s="114"/>
      <c r="BU66" s="114"/>
      <c r="BV66" s="114"/>
    </row>
    <row r="67" hidden="1">
      <c r="A67" s="51"/>
      <c r="B67" s="60"/>
      <c r="C67" s="61"/>
      <c r="D67" s="62"/>
      <c r="E67" s="61"/>
      <c r="F67" s="62"/>
      <c r="G67" s="63"/>
      <c r="H67" s="64"/>
      <c r="I67" s="64"/>
      <c r="J67" s="65">
        <f t="shared" ref="J67:J68" si="24">DAYS360(H67,I67)</f>
        <v>0</v>
      </c>
      <c r="K67" s="122">
        <v>0.0</v>
      </c>
      <c r="L67" s="143"/>
      <c r="M67" s="74"/>
      <c r="N67" s="69"/>
      <c r="O67" s="69"/>
      <c r="P67" s="69"/>
      <c r="Q67" s="69"/>
      <c r="R67" s="70"/>
      <c r="S67" s="71"/>
      <c r="T67" s="69"/>
      <c r="U67" s="69"/>
      <c r="V67" s="69"/>
      <c r="W67" s="70"/>
      <c r="X67" s="69"/>
      <c r="Y67" s="69"/>
      <c r="Z67" s="69"/>
      <c r="AA67" s="69"/>
      <c r="AB67" s="70"/>
      <c r="AC67" s="71"/>
      <c r="AD67" s="69"/>
      <c r="AE67" s="69"/>
      <c r="AF67" s="69"/>
      <c r="AG67" s="70"/>
      <c r="AH67" s="71"/>
      <c r="AI67" s="69"/>
      <c r="AJ67" s="144"/>
      <c r="AK67" s="71"/>
      <c r="AL67" s="70"/>
      <c r="AM67" s="71"/>
      <c r="AN67" s="69"/>
      <c r="AO67" s="69"/>
      <c r="AP67" s="69"/>
      <c r="AQ67" s="70"/>
      <c r="AR67" s="71"/>
      <c r="AS67" s="69"/>
      <c r="AT67" s="69"/>
      <c r="AU67" s="69"/>
      <c r="AV67" s="70"/>
      <c r="AW67" s="71"/>
      <c r="AX67" s="69"/>
      <c r="AY67" s="69"/>
      <c r="AZ67" s="69"/>
      <c r="BA67" s="70"/>
      <c r="BB67" s="71"/>
      <c r="BC67" s="69"/>
      <c r="BD67" s="69"/>
      <c r="BE67" s="69"/>
      <c r="BF67" s="70"/>
      <c r="BG67" s="71"/>
      <c r="BH67" s="69"/>
      <c r="BI67" s="69"/>
      <c r="BJ67" s="69"/>
      <c r="BK67" s="70"/>
      <c r="BL67" s="71"/>
      <c r="BM67" s="69"/>
      <c r="BN67" s="69"/>
      <c r="BO67" s="69"/>
      <c r="BP67" s="70"/>
      <c r="BQ67" s="71"/>
      <c r="BR67" s="69"/>
      <c r="BS67" s="69"/>
      <c r="BT67" s="69"/>
      <c r="BU67" s="70"/>
      <c r="BV67" s="3"/>
    </row>
    <row r="68" hidden="1">
      <c r="A68" s="51"/>
      <c r="B68" s="60"/>
      <c r="C68" s="61"/>
      <c r="D68" s="62"/>
      <c r="E68" s="61"/>
      <c r="F68" s="62"/>
      <c r="G68" s="63"/>
      <c r="H68" s="64"/>
      <c r="I68" s="64"/>
      <c r="J68" s="65">
        <f t="shared" si="24"/>
        <v>0</v>
      </c>
      <c r="K68" s="122">
        <v>0.0</v>
      </c>
      <c r="L68" s="84"/>
      <c r="M68" s="85"/>
      <c r="N68" s="69"/>
      <c r="O68" s="69"/>
      <c r="P68" s="69"/>
      <c r="Q68" s="69"/>
      <c r="R68" s="70"/>
      <c r="S68" s="71"/>
      <c r="T68" s="69"/>
      <c r="U68" s="69"/>
      <c r="V68" s="69"/>
      <c r="W68" s="70"/>
      <c r="X68" s="69"/>
      <c r="Y68" s="69"/>
      <c r="Z68" s="69"/>
      <c r="AA68" s="69"/>
      <c r="AB68" s="70"/>
      <c r="AC68" s="71"/>
      <c r="AD68" s="69"/>
      <c r="AE68" s="69"/>
      <c r="AF68" s="69"/>
      <c r="AG68" s="70"/>
      <c r="AH68" s="71"/>
      <c r="AI68" s="69"/>
      <c r="AJ68" s="69"/>
      <c r="AK68" s="69"/>
      <c r="AL68" s="70"/>
      <c r="AM68" s="71"/>
      <c r="AN68" s="69"/>
      <c r="AO68" s="69"/>
      <c r="AP68" s="69"/>
      <c r="AQ68" s="70"/>
      <c r="AR68" s="71"/>
      <c r="AS68" s="69"/>
      <c r="AT68" s="69"/>
      <c r="AU68" s="69"/>
      <c r="AV68" s="70"/>
      <c r="AW68" s="71"/>
      <c r="AX68" s="69"/>
      <c r="AY68" s="69"/>
      <c r="AZ68" s="69"/>
      <c r="BA68" s="70"/>
      <c r="BB68" s="71"/>
      <c r="BC68" s="69"/>
      <c r="BD68" s="69"/>
      <c r="BE68" s="69"/>
      <c r="BF68" s="70"/>
      <c r="BG68" s="71"/>
      <c r="BH68" s="69"/>
      <c r="BI68" s="69"/>
      <c r="BJ68" s="69"/>
      <c r="BK68" s="70"/>
      <c r="BL68" s="71"/>
      <c r="BM68" s="69"/>
      <c r="BN68" s="69"/>
      <c r="BO68" s="69"/>
      <c r="BP68" s="70"/>
      <c r="BQ68" s="71"/>
      <c r="BR68" s="69"/>
      <c r="BS68" s="69"/>
      <c r="BT68" s="69"/>
      <c r="BU68" s="70"/>
      <c r="BV68" s="3"/>
    </row>
    <row r="69" ht="30.0" hidden="1" customHeight="1">
      <c r="A69" s="51"/>
      <c r="B69" s="145"/>
      <c r="C69" s="61"/>
      <c r="D69" s="62"/>
      <c r="E69" s="61"/>
      <c r="F69" s="62"/>
      <c r="G69" s="63"/>
      <c r="H69" s="64"/>
      <c r="I69" s="64"/>
      <c r="J69" s="65">
        <f t="shared" ref="J69:J72" si="25">days(I69,H69)</f>
        <v>0</v>
      </c>
      <c r="K69" s="122">
        <v>0.0</v>
      </c>
      <c r="L69" s="143"/>
      <c r="M69" s="74"/>
      <c r="N69" s="69"/>
      <c r="O69" s="69"/>
      <c r="P69" s="69"/>
      <c r="Q69" s="69"/>
      <c r="R69" s="70"/>
      <c r="S69" s="69"/>
      <c r="T69" s="69"/>
      <c r="U69" s="69"/>
      <c r="V69" s="69"/>
      <c r="W69" s="70"/>
      <c r="X69" s="69"/>
      <c r="Y69" s="69"/>
      <c r="Z69" s="69"/>
      <c r="AA69" s="69"/>
      <c r="AB69" s="70"/>
      <c r="AC69" s="71"/>
      <c r="AD69" s="69"/>
      <c r="AE69" s="69"/>
      <c r="AF69" s="69"/>
      <c r="AG69" s="70"/>
      <c r="AH69" s="71"/>
      <c r="AI69" s="69"/>
      <c r="AJ69" s="69"/>
      <c r="AK69" s="69"/>
      <c r="AL69" s="70"/>
      <c r="AM69" s="71"/>
      <c r="AN69" s="69"/>
      <c r="AO69" s="69"/>
      <c r="AP69" s="69"/>
      <c r="AQ69" s="70"/>
      <c r="AR69" s="71"/>
      <c r="AS69" s="69"/>
      <c r="AT69" s="69"/>
      <c r="AU69" s="69"/>
      <c r="AV69" s="70"/>
      <c r="AW69" s="71"/>
      <c r="AX69" s="71"/>
      <c r="AY69" s="69"/>
      <c r="AZ69" s="69"/>
      <c r="BA69" s="70"/>
      <c r="BB69" s="71"/>
      <c r="BC69" s="69"/>
      <c r="BD69" s="69"/>
      <c r="BE69" s="69"/>
      <c r="BF69" s="70"/>
      <c r="BG69" s="71"/>
      <c r="BH69" s="69"/>
      <c r="BI69" s="69"/>
      <c r="BJ69" s="69"/>
      <c r="BK69" s="70"/>
      <c r="BL69" s="71"/>
      <c r="BM69" s="69"/>
      <c r="BN69" s="69"/>
      <c r="BO69" s="69"/>
      <c r="BP69" s="70"/>
      <c r="BQ69" s="71"/>
      <c r="BR69" s="69"/>
      <c r="BS69" s="69"/>
      <c r="BT69" s="69"/>
      <c r="BU69" s="70"/>
      <c r="BV69" s="3"/>
    </row>
    <row r="70" ht="30.0" hidden="1" customHeight="1">
      <c r="A70" s="51"/>
      <c r="B70" s="145"/>
      <c r="C70" s="61"/>
      <c r="D70" s="62"/>
      <c r="E70" s="61"/>
      <c r="F70" s="62"/>
      <c r="G70" s="63"/>
      <c r="H70" s="64"/>
      <c r="I70" s="64"/>
      <c r="J70" s="65">
        <f t="shared" si="25"/>
        <v>0</v>
      </c>
      <c r="K70" s="122">
        <v>0.0</v>
      </c>
      <c r="L70" s="146"/>
      <c r="M70" s="147"/>
      <c r="N70" s="69"/>
      <c r="O70" s="69"/>
      <c r="P70" s="69"/>
      <c r="Q70" s="69"/>
      <c r="R70" s="70"/>
      <c r="S70" s="69"/>
      <c r="T70" s="69"/>
      <c r="U70" s="69"/>
      <c r="V70" s="69"/>
      <c r="W70" s="70"/>
      <c r="X70" s="69"/>
      <c r="Y70" s="69"/>
      <c r="Z70" s="69"/>
      <c r="AA70" s="69"/>
      <c r="AB70" s="70"/>
      <c r="AC70" s="71"/>
      <c r="AD70" s="69"/>
      <c r="AE70" s="69"/>
      <c r="AF70" s="69"/>
      <c r="AG70" s="70"/>
      <c r="AH70" s="71"/>
      <c r="AI70" s="69"/>
      <c r="AJ70" s="69"/>
      <c r="AK70" s="69"/>
      <c r="AL70" s="70"/>
      <c r="AM70" s="71"/>
      <c r="AN70" s="69"/>
      <c r="AO70" s="69"/>
      <c r="AP70" s="69"/>
      <c r="AQ70" s="70"/>
      <c r="AR70" s="71"/>
      <c r="AS70" s="69"/>
      <c r="AT70" s="69"/>
      <c r="AU70" s="69"/>
      <c r="AV70" s="70"/>
      <c r="AW70" s="71"/>
      <c r="AX70" s="69"/>
      <c r="AY70" s="69"/>
      <c r="AZ70" s="69"/>
      <c r="BA70" s="70"/>
      <c r="BB70" s="71"/>
      <c r="BC70" s="69"/>
      <c r="BD70" s="69"/>
      <c r="BE70" s="69"/>
      <c r="BF70" s="70"/>
      <c r="BG70" s="71"/>
      <c r="BH70" s="69"/>
      <c r="BI70" s="69"/>
      <c r="BJ70" s="69"/>
      <c r="BK70" s="70"/>
      <c r="BL70" s="71"/>
      <c r="BM70" s="69"/>
      <c r="BN70" s="69"/>
      <c r="BO70" s="69"/>
      <c r="BP70" s="70"/>
      <c r="BQ70" s="71"/>
      <c r="BR70" s="69"/>
      <c r="BS70" s="69"/>
      <c r="BT70" s="69"/>
      <c r="BU70" s="70"/>
      <c r="BV70" s="3"/>
    </row>
    <row r="71" ht="30.0" hidden="1" customHeight="1">
      <c r="A71" s="51"/>
      <c r="B71" s="145"/>
      <c r="C71" s="61"/>
      <c r="D71" s="62"/>
      <c r="E71" s="61"/>
      <c r="F71" s="62"/>
      <c r="G71" s="63"/>
      <c r="H71" s="64"/>
      <c r="I71" s="64"/>
      <c r="J71" s="65">
        <f t="shared" si="25"/>
        <v>0</v>
      </c>
      <c r="K71" s="122">
        <v>0.0</v>
      </c>
      <c r="L71" s="146"/>
      <c r="M71" s="147"/>
      <c r="N71" s="69"/>
      <c r="O71" s="69"/>
      <c r="P71" s="69"/>
      <c r="Q71" s="69"/>
      <c r="R71" s="70"/>
      <c r="S71" s="69"/>
      <c r="T71" s="69"/>
      <c r="U71" s="69"/>
      <c r="V71" s="69"/>
      <c r="W71" s="70"/>
      <c r="X71" s="69"/>
      <c r="Y71" s="69"/>
      <c r="Z71" s="69"/>
      <c r="AA71" s="69"/>
      <c r="AB71" s="70"/>
      <c r="AC71" s="71"/>
      <c r="AD71" s="69"/>
      <c r="AE71" s="69"/>
      <c r="AF71" s="69"/>
      <c r="AG71" s="70"/>
      <c r="AH71" s="71"/>
      <c r="AI71" s="69"/>
      <c r="AJ71" s="69"/>
      <c r="AK71" s="69"/>
      <c r="AL71" s="70"/>
      <c r="AM71" s="71"/>
      <c r="AN71" s="69"/>
      <c r="AO71" s="69"/>
      <c r="AP71" s="69"/>
      <c r="AQ71" s="70"/>
      <c r="AR71" s="71"/>
      <c r="AS71" s="69"/>
      <c r="AT71" s="69"/>
      <c r="AU71" s="69"/>
      <c r="AV71" s="70"/>
      <c r="AW71" s="71"/>
      <c r="AX71" s="69"/>
      <c r="AY71" s="69"/>
      <c r="AZ71" s="69"/>
      <c r="BA71" s="70"/>
      <c r="BB71" s="71"/>
      <c r="BC71" s="69"/>
      <c r="BD71" s="69"/>
      <c r="BE71" s="69"/>
      <c r="BF71" s="70"/>
      <c r="BG71" s="71"/>
      <c r="BH71" s="69"/>
      <c r="BI71" s="69"/>
      <c r="BJ71" s="69"/>
      <c r="BK71" s="70"/>
      <c r="BL71" s="71"/>
      <c r="BM71" s="69"/>
      <c r="BN71" s="69"/>
      <c r="BO71" s="69"/>
      <c r="BP71" s="70"/>
      <c r="BQ71" s="71"/>
      <c r="BR71" s="69"/>
      <c r="BS71" s="69"/>
      <c r="BT71" s="69"/>
      <c r="BU71" s="70"/>
      <c r="BV71" s="3"/>
    </row>
    <row r="72" ht="30.0" hidden="1" customHeight="1">
      <c r="A72" s="51"/>
      <c r="B72" s="145"/>
      <c r="C72" s="61"/>
      <c r="D72" s="62"/>
      <c r="E72" s="61"/>
      <c r="F72" s="62"/>
      <c r="G72" s="63"/>
      <c r="H72" s="64"/>
      <c r="I72" s="64"/>
      <c r="J72" s="65">
        <f t="shared" si="25"/>
        <v>0</v>
      </c>
      <c r="K72" s="122">
        <v>0.0</v>
      </c>
      <c r="L72" s="84"/>
      <c r="M72" s="85"/>
      <c r="N72" s="69"/>
      <c r="O72" s="69"/>
      <c r="P72" s="69"/>
      <c r="Q72" s="69"/>
      <c r="R72" s="70"/>
      <c r="S72" s="69"/>
      <c r="T72" s="69"/>
      <c r="U72" s="69"/>
      <c r="V72" s="69"/>
      <c r="W72" s="70"/>
      <c r="X72" s="69"/>
      <c r="Y72" s="69"/>
      <c r="Z72" s="69"/>
      <c r="AA72" s="69"/>
      <c r="AB72" s="70"/>
      <c r="AC72" s="71"/>
      <c r="AD72" s="69"/>
      <c r="AE72" s="69"/>
      <c r="AF72" s="69"/>
      <c r="AG72" s="70"/>
      <c r="AH72" s="71"/>
      <c r="AI72" s="69"/>
      <c r="AJ72" s="69"/>
      <c r="AK72" s="69"/>
      <c r="AL72" s="70"/>
      <c r="AM72" s="71"/>
      <c r="AN72" s="69"/>
      <c r="AO72" s="69"/>
      <c r="AP72" s="69"/>
      <c r="AQ72" s="70"/>
      <c r="AR72" s="71"/>
      <c r="AS72" s="69"/>
      <c r="AT72" s="69"/>
      <c r="AU72" s="69"/>
      <c r="AV72" s="70"/>
      <c r="AW72" s="71"/>
      <c r="AX72" s="69"/>
      <c r="AY72" s="69"/>
      <c r="AZ72" s="69"/>
      <c r="BA72" s="70"/>
      <c r="BB72" s="71"/>
      <c r="BC72" s="69"/>
      <c r="BD72" s="69"/>
      <c r="BE72" s="69"/>
      <c r="BF72" s="70"/>
      <c r="BG72" s="71"/>
      <c r="BH72" s="69"/>
      <c r="BI72" s="69"/>
      <c r="BJ72" s="69"/>
      <c r="BK72" s="70"/>
      <c r="BL72" s="71"/>
      <c r="BM72" s="69"/>
      <c r="BN72" s="69"/>
      <c r="BO72" s="69"/>
      <c r="BP72" s="70"/>
      <c r="BQ72" s="71"/>
      <c r="BR72" s="69"/>
      <c r="BS72" s="69"/>
      <c r="BT72" s="69"/>
      <c r="BU72" s="70"/>
      <c r="BV72" s="3"/>
    </row>
    <row r="73" hidden="1">
      <c r="A73" s="51"/>
      <c r="B73" s="135"/>
      <c r="C73" s="136"/>
      <c r="D73" s="137"/>
      <c r="E73" s="138"/>
      <c r="F73" s="138"/>
      <c r="G73" s="139"/>
      <c r="H73" s="140"/>
      <c r="I73" s="140"/>
      <c r="J73" s="141"/>
      <c r="K73" s="111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114"/>
      <c r="BB73" s="114"/>
      <c r="BC73" s="114"/>
      <c r="BD73" s="114"/>
      <c r="BE73" s="114"/>
      <c r="BF73" s="114"/>
      <c r="BG73" s="114"/>
      <c r="BH73" s="114"/>
      <c r="BI73" s="114"/>
      <c r="BJ73" s="114"/>
      <c r="BK73" s="114"/>
      <c r="BL73" s="114"/>
      <c r="BM73" s="114"/>
      <c r="BN73" s="114"/>
      <c r="BO73" s="114"/>
      <c r="BP73" s="114"/>
      <c r="BQ73" s="114"/>
      <c r="BR73" s="114"/>
      <c r="BS73" s="114"/>
      <c r="BT73" s="114"/>
      <c r="BU73" s="114"/>
      <c r="BV73" s="114"/>
    </row>
    <row r="74" ht="30.0" hidden="1" customHeight="1">
      <c r="A74" s="51"/>
      <c r="B74" s="145"/>
      <c r="C74" s="61"/>
      <c r="D74" s="62"/>
      <c r="E74" s="61"/>
      <c r="F74" s="62"/>
      <c r="G74" s="63"/>
      <c r="H74" s="64"/>
      <c r="I74" s="64"/>
      <c r="J74" s="65">
        <f t="shared" ref="J74:J77" si="26">days(I74,H74)</f>
        <v>0</v>
      </c>
      <c r="K74" s="122">
        <v>0.0</v>
      </c>
      <c r="L74" s="143"/>
      <c r="M74" s="74"/>
      <c r="N74" s="69"/>
      <c r="O74" s="69"/>
      <c r="P74" s="69"/>
      <c r="Q74" s="69"/>
      <c r="R74" s="70"/>
      <c r="S74" s="69"/>
      <c r="T74" s="69"/>
      <c r="U74" s="69"/>
      <c r="V74" s="69"/>
      <c r="W74" s="70"/>
      <c r="X74" s="69"/>
      <c r="Y74" s="69"/>
      <c r="Z74" s="69"/>
      <c r="AA74" s="69"/>
      <c r="AB74" s="70"/>
      <c r="AC74" s="71"/>
      <c r="AD74" s="69"/>
      <c r="AE74" s="69"/>
      <c r="AF74" s="69"/>
      <c r="AG74" s="70"/>
      <c r="AH74" s="71"/>
      <c r="AI74" s="69"/>
      <c r="AJ74" s="69"/>
      <c r="AK74" s="69"/>
      <c r="AL74" s="70"/>
      <c r="AM74" s="71"/>
      <c r="AN74" s="69"/>
      <c r="AO74" s="69"/>
      <c r="AP74" s="69"/>
      <c r="AQ74" s="70"/>
      <c r="AR74" s="71"/>
      <c r="AS74" s="69"/>
      <c r="AT74" s="69"/>
      <c r="AU74" s="69"/>
      <c r="AV74" s="70"/>
      <c r="AW74" s="71"/>
      <c r="AX74" s="69"/>
      <c r="AY74" s="69"/>
      <c r="AZ74" s="69"/>
      <c r="BA74" s="70"/>
      <c r="BB74" s="71"/>
      <c r="BC74" s="69"/>
      <c r="BD74" s="69"/>
      <c r="BE74" s="69"/>
      <c r="BF74" s="70"/>
      <c r="BG74" s="71"/>
      <c r="BH74" s="69"/>
      <c r="BI74" s="69"/>
      <c r="BJ74" s="69"/>
      <c r="BK74" s="70"/>
      <c r="BL74" s="71"/>
      <c r="BM74" s="69"/>
      <c r="BN74" s="69"/>
      <c r="BO74" s="69"/>
      <c r="BP74" s="70"/>
      <c r="BQ74" s="71"/>
      <c r="BR74" s="69"/>
      <c r="BS74" s="69"/>
      <c r="BT74" s="69"/>
      <c r="BU74" s="70"/>
      <c r="BV74" s="3"/>
    </row>
    <row r="75" ht="30.0" hidden="1" customHeight="1">
      <c r="A75" s="51"/>
      <c r="B75" s="145"/>
      <c r="C75" s="148"/>
      <c r="D75" s="62"/>
      <c r="E75" s="61"/>
      <c r="F75" s="62"/>
      <c r="G75" s="63"/>
      <c r="H75" s="64"/>
      <c r="I75" s="64"/>
      <c r="J75" s="65">
        <f t="shared" si="26"/>
        <v>0</v>
      </c>
      <c r="K75" s="122">
        <v>0.0</v>
      </c>
      <c r="L75" s="146"/>
      <c r="M75" s="147"/>
      <c r="N75" s="69"/>
      <c r="O75" s="69"/>
      <c r="P75" s="69"/>
      <c r="Q75" s="69"/>
      <c r="R75" s="70"/>
      <c r="S75" s="69"/>
      <c r="T75" s="69"/>
      <c r="U75" s="69"/>
      <c r="V75" s="69"/>
      <c r="W75" s="70"/>
      <c r="X75" s="69"/>
      <c r="Y75" s="69"/>
      <c r="Z75" s="69"/>
      <c r="AA75" s="69"/>
      <c r="AB75" s="70"/>
      <c r="AC75" s="71"/>
      <c r="AD75" s="69"/>
      <c r="AE75" s="69"/>
      <c r="AF75" s="69"/>
      <c r="AG75" s="70"/>
      <c r="AH75" s="71"/>
      <c r="AI75" s="69"/>
      <c r="AJ75" s="69"/>
      <c r="AK75" s="69"/>
      <c r="AL75" s="70"/>
      <c r="AM75" s="71"/>
      <c r="AN75" s="69"/>
      <c r="AO75" s="69"/>
      <c r="AP75" s="69"/>
      <c r="AQ75" s="70"/>
      <c r="AR75" s="71"/>
      <c r="AS75" s="69"/>
      <c r="AT75" s="69"/>
      <c r="AU75" s="69"/>
      <c r="AV75" s="70"/>
      <c r="AW75" s="71"/>
      <c r="AX75" s="69"/>
      <c r="AY75" s="69"/>
      <c r="AZ75" s="69"/>
      <c r="BA75" s="70"/>
      <c r="BB75" s="71"/>
      <c r="BC75" s="69"/>
      <c r="BD75" s="69"/>
      <c r="BE75" s="69"/>
      <c r="BF75" s="70"/>
      <c r="BG75" s="71"/>
      <c r="BH75" s="69"/>
      <c r="BI75" s="69"/>
      <c r="BJ75" s="69"/>
      <c r="BK75" s="70"/>
      <c r="BL75" s="71"/>
      <c r="BM75" s="69"/>
      <c r="BN75" s="69"/>
      <c r="BO75" s="69"/>
      <c r="BP75" s="70"/>
      <c r="BQ75" s="71"/>
      <c r="BR75" s="69"/>
      <c r="BS75" s="69"/>
      <c r="BT75" s="69"/>
      <c r="BU75" s="70"/>
      <c r="BV75" s="3"/>
    </row>
    <row r="76" ht="30.0" hidden="1" customHeight="1">
      <c r="A76" s="51"/>
      <c r="B76" s="145"/>
      <c r="C76" s="148"/>
      <c r="D76" s="62"/>
      <c r="E76" s="61"/>
      <c r="F76" s="62"/>
      <c r="G76" s="63"/>
      <c r="H76" s="64"/>
      <c r="I76" s="64"/>
      <c r="J76" s="65">
        <f t="shared" si="26"/>
        <v>0</v>
      </c>
      <c r="K76" s="122">
        <v>0.0</v>
      </c>
      <c r="L76" s="146"/>
      <c r="M76" s="147"/>
      <c r="N76" s="69"/>
      <c r="O76" s="69"/>
      <c r="P76" s="69"/>
      <c r="Q76" s="69"/>
      <c r="R76" s="70"/>
      <c r="S76" s="69"/>
      <c r="T76" s="69"/>
      <c r="U76" s="69"/>
      <c r="V76" s="69"/>
      <c r="W76" s="70"/>
      <c r="X76" s="69"/>
      <c r="Y76" s="69"/>
      <c r="Z76" s="69"/>
      <c r="AA76" s="69"/>
      <c r="AB76" s="70"/>
      <c r="AC76" s="71"/>
      <c r="AD76" s="69"/>
      <c r="AE76" s="69"/>
      <c r="AF76" s="69"/>
      <c r="AG76" s="70"/>
      <c r="AH76" s="71"/>
      <c r="AI76" s="69"/>
      <c r="AJ76" s="69"/>
      <c r="AK76" s="69"/>
      <c r="AL76" s="70"/>
      <c r="AM76" s="71"/>
      <c r="AN76" s="69"/>
      <c r="AO76" s="69"/>
      <c r="AP76" s="69"/>
      <c r="AQ76" s="70"/>
      <c r="AR76" s="71"/>
      <c r="AS76" s="69"/>
      <c r="AT76" s="69"/>
      <c r="AU76" s="69"/>
      <c r="AV76" s="70"/>
      <c r="AW76" s="71"/>
      <c r="AX76" s="69"/>
      <c r="AY76" s="69"/>
      <c r="AZ76" s="69"/>
      <c r="BA76" s="70"/>
      <c r="BB76" s="71"/>
      <c r="BC76" s="69"/>
      <c r="BD76" s="69"/>
      <c r="BE76" s="69"/>
      <c r="BF76" s="70"/>
      <c r="BG76" s="71"/>
      <c r="BH76" s="69"/>
      <c r="BI76" s="69"/>
      <c r="BJ76" s="69"/>
      <c r="BK76" s="70"/>
      <c r="BL76" s="71"/>
      <c r="BM76" s="69"/>
      <c r="BN76" s="69"/>
      <c r="BO76" s="69"/>
      <c r="BP76" s="70"/>
      <c r="BQ76" s="71"/>
      <c r="BR76" s="69"/>
      <c r="BS76" s="69"/>
      <c r="BT76" s="69"/>
      <c r="BU76" s="70"/>
      <c r="BV76" s="3"/>
    </row>
    <row r="77" ht="30.0" hidden="1" customHeight="1">
      <c r="A77" s="51"/>
      <c r="B77" s="145"/>
      <c r="C77" s="148"/>
      <c r="D77" s="62"/>
      <c r="E77" s="61"/>
      <c r="F77" s="62"/>
      <c r="G77" s="63"/>
      <c r="H77" s="64"/>
      <c r="I77" s="64"/>
      <c r="J77" s="65">
        <f t="shared" si="26"/>
        <v>0</v>
      </c>
      <c r="K77" s="122">
        <v>0.0</v>
      </c>
      <c r="L77" s="84"/>
      <c r="M77" s="85"/>
      <c r="N77" s="69"/>
      <c r="O77" s="69"/>
      <c r="P77" s="69"/>
      <c r="Q77" s="69"/>
      <c r="R77" s="70"/>
      <c r="S77" s="69"/>
      <c r="T77" s="69"/>
      <c r="U77" s="69"/>
      <c r="V77" s="69"/>
      <c r="W77" s="70"/>
      <c r="X77" s="69"/>
      <c r="Y77" s="69"/>
      <c r="Z77" s="69"/>
      <c r="AA77" s="69"/>
      <c r="AB77" s="70"/>
      <c r="AC77" s="71"/>
      <c r="AD77" s="69"/>
      <c r="AE77" s="69"/>
      <c r="AF77" s="69"/>
      <c r="AG77" s="70"/>
      <c r="AH77" s="71"/>
      <c r="AI77" s="69"/>
      <c r="AJ77" s="69"/>
      <c r="AK77" s="69"/>
      <c r="AL77" s="70"/>
      <c r="AM77" s="71"/>
      <c r="AN77" s="69"/>
      <c r="AO77" s="69"/>
      <c r="AP77" s="69"/>
      <c r="AQ77" s="70"/>
      <c r="AR77" s="71"/>
      <c r="AS77" s="69"/>
      <c r="AT77" s="69"/>
      <c r="AU77" s="69"/>
      <c r="AV77" s="70"/>
      <c r="AW77" s="71"/>
      <c r="AX77" s="69"/>
      <c r="AY77" s="69"/>
      <c r="AZ77" s="69"/>
      <c r="BA77" s="70"/>
      <c r="BB77" s="71"/>
      <c r="BC77" s="69"/>
      <c r="BD77" s="69"/>
      <c r="BE77" s="69"/>
      <c r="BF77" s="70"/>
      <c r="BG77" s="71"/>
      <c r="BH77" s="69"/>
      <c r="BI77" s="69"/>
      <c r="BJ77" s="69"/>
      <c r="BK77" s="70"/>
      <c r="BL77" s="71"/>
      <c r="BM77" s="69"/>
      <c r="BN77" s="69"/>
      <c r="BO77" s="69"/>
      <c r="BP77" s="70"/>
      <c r="BQ77" s="71"/>
      <c r="BR77" s="69"/>
      <c r="BS77" s="69"/>
      <c r="BT77" s="69"/>
      <c r="BU77" s="70"/>
      <c r="BV77" s="3"/>
    </row>
    <row r="78" hidden="1">
      <c r="A78" s="51"/>
      <c r="B78" s="135"/>
      <c r="C78" s="149"/>
      <c r="D78" s="137"/>
      <c r="E78" s="138"/>
      <c r="F78" s="138"/>
      <c r="G78" s="139"/>
      <c r="H78" s="140"/>
      <c r="I78" s="140"/>
      <c r="J78" s="141"/>
      <c r="K78" s="111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  <c r="BR78" s="114"/>
      <c r="BS78" s="114"/>
      <c r="BT78" s="114"/>
      <c r="BU78" s="114"/>
      <c r="BV78" s="114"/>
    </row>
    <row r="79" ht="29.25" hidden="1" customHeight="1">
      <c r="A79" s="88"/>
      <c r="B79" s="150"/>
      <c r="C79" s="151"/>
      <c r="D79" s="62"/>
      <c r="E79" s="93"/>
      <c r="F79" s="62"/>
      <c r="G79" s="92"/>
      <c r="H79" s="64"/>
      <c r="I79" s="64"/>
      <c r="J79" s="65">
        <f t="shared" ref="J79:J81" si="27">days(I79,H79)</f>
        <v>0</v>
      </c>
      <c r="K79" s="123">
        <v>0.0</v>
      </c>
      <c r="L79" s="124"/>
      <c r="M79" s="125"/>
      <c r="N79" s="89"/>
      <c r="O79" s="89"/>
      <c r="P79" s="89"/>
      <c r="Q79" s="89"/>
      <c r="R79" s="90"/>
      <c r="S79" s="91"/>
      <c r="T79" s="89"/>
      <c r="U79" s="89"/>
      <c r="V79" s="89"/>
      <c r="W79" s="90"/>
      <c r="X79" s="91"/>
      <c r="Y79" s="89"/>
      <c r="Z79" s="89"/>
      <c r="AA79" s="89"/>
      <c r="AB79" s="90"/>
      <c r="AC79" s="91"/>
      <c r="AD79" s="89"/>
      <c r="AE79" s="89"/>
      <c r="AF79" s="89"/>
      <c r="AG79" s="90"/>
      <c r="AH79" s="91"/>
      <c r="AI79" s="89"/>
      <c r="AJ79" s="89"/>
      <c r="AK79" s="89"/>
      <c r="AL79" s="90"/>
      <c r="AM79" s="91"/>
      <c r="AN79" s="89"/>
      <c r="AO79" s="89"/>
      <c r="AP79" s="89"/>
      <c r="AQ79" s="90"/>
      <c r="AR79" s="91"/>
      <c r="AS79" s="89"/>
      <c r="AT79" s="89"/>
      <c r="AU79" s="89"/>
      <c r="AV79" s="90"/>
      <c r="AW79" s="91"/>
      <c r="AX79" s="89"/>
      <c r="AY79" s="89"/>
      <c r="AZ79" s="89"/>
      <c r="BA79" s="90"/>
      <c r="BB79" s="91"/>
      <c r="BC79" s="89"/>
      <c r="BD79" s="89"/>
      <c r="BE79" s="89"/>
      <c r="BF79" s="90"/>
      <c r="BG79" s="91"/>
      <c r="BH79" s="89"/>
      <c r="BI79" s="89"/>
      <c r="BJ79" s="89"/>
      <c r="BK79" s="90"/>
      <c r="BL79" s="91"/>
      <c r="BM79" s="89"/>
      <c r="BN79" s="89"/>
      <c r="BO79" s="89"/>
      <c r="BP79" s="90"/>
      <c r="BQ79" s="91"/>
      <c r="BR79" s="89"/>
      <c r="BS79" s="89"/>
      <c r="BT79" s="89"/>
      <c r="BU79" s="90"/>
      <c r="BV79" s="88"/>
    </row>
    <row r="80" ht="30.0" hidden="1" customHeight="1">
      <c r="A80" s="51"/>
      <c r="B80" s="145"/>
      <c r="C80" s="148"/>
      <c r="D80" s="62"/>
      <c r="E80" s="61"/>
      <c r="F80" s="62"/>
      <c r="G80" s="63"/>
      <c r="H80" s="64"/>
      <c r="I80" s="64"/>
      <c r="J80" s="65">
        <f t="shared" si="27"/>
        <v>0</v>
      </c>
      <c r="K80" s="123">
        <v>0.0</v>
      </c>
      <c r="L80" s="143"/>
      <c r="M80" s="152"/>
      <c r="N80" s="71"/>
      <c r="O80" s="69"/>
      <c r="P80" s="69"/>
      <c r="Q80" s="69"/>
      <c r="R80" s="70"/>
      <c r="S80" s="69"/>
      <c r="T80" s="69"/>
      <c r="U80" s="69"/>
      <c r="V80" s="69"/>
      <c r="W80" s="70"/>
      <c r="X80" s="69"/>
      <c r="Y80" s="69"/>
      <c r="Z80" s="69"/>
      <c r="AA80" s="69"/>
      <c r="AB80" s="70"/>
      <c r="AC80" s="71"/>
      <c r="AD80" s="69"/>
      <c r="AE80" s="69"/>
      <c r="AF80" s="69"/>
      <c r="AG80" s="70"/>
      <c r="AH80" s="71"/>
      <c r="AI80" s="69"/>
      <c r="AJ80" s="69"/>
      <c r="AK80" s="69"/>
      <c r="AL80" s="70"/>
      <c r="AM80" s="71"/>
      <c r="AN80" s="69"/>
      <c r="AO80" s="69"/>
      <c r="AP80" s="69"/>
      <c r="AQ80" s="70"/>
      <c r="AR80" s="71"/>
      <c r="AS80" s="69"/>
      <c r="AT80" s="69"/>
      <c r="AU80" s="69"/>
      <c r="AV80" s="70"/>
      <c r="AW80" s="71"/>
      <c r="AX80" s="69"/>
      <c r="AY80" s="69"/>
      <c r="AZ80" s="69"/>
      <c r="BA80" s="70"/>
      <c r="BB80" s="71"/>
      <c r="BC80" s="69"/>
      <c r="BD80" s="69"/>
      <c r="BE80" s="69"/>
      <c r="BF80" s="70"/>
      <c r="BG80" s="71"/>
      <c r="BH80" s="69"/>
      <c r="BI80" s="69"/>
      <c r="BJ80" s="69"/>
      <c r="BK80" s="70"/>
      <c r="BL80" s="71"/>
      <c r="BM80" s="69"/>
      <c r="BN80" s="69"/>
      <c r="BO80" s="69"/>
      <c r="BP80" s="70"/>
      <c r="BQ80" s="71"/>
      <c r="BR80" s="69"/>
      <c r="BS80" s="69"/>
      <c r="BT80" s="69"/>
      <c r="BU80" s="70"/>
      <c r="BV80" s="3"/>
    </row>
    <row r="81" ht="30.0" hidden="1" customHeight="1">
      <c r="A81" s="51"/>
      <c r="B81" s="145"/>
      <c r="C81" s="148"/>
      <c r="D81" s="62"/>
      <c r="E81" s="61"/>
      <c r="F81" s="62"/>
      <c r="G81" s="63"/>
      <c r="H81" s="64"/>
      <c r="I81" s="64"/>
      <c r="J81" s="65">
        <f t="shared" si="27"/>
        <v>0</v>
      </c>
      <c r="K81" s="123">
        <v>0.0</v>
      </c>
      <c r="L81" s="116"/>
      <c r="M81" s="117"/>
      <c r="N81" s="71"/>
      <c r="O81" s="69"/>
      <c r="P81" s="69"/>
      <c r="Q81" s="69"/>
      <c r="R81" s="70"/>
      <c r="S81" s="69"/>
      <c r="T81" s="69"/>
      <c r="U81" s="69"/>
      <c r="V81" s="69"/>
      <c r="W81" s="70"/>
      <c r="X81" s="69"/>
      <c r="Y81" s="69"/>
      <c r="Z81" s="69"/>
      <c r="AA81" s="69"/>
      <c r="AB81" s="70"/>
      <c r="AC81" s="71"/>
      <c r="AD81" s="69"/>
      <c r="AE81" s="69"/>
      <c r="AF81" s="69"/>
      <c r="AG81" s="70"/>
      <c r="AH81" s="71"/>
      <c r="AI81" s="69"/>
      <c r="AJ81" s="69"/>
      <c r="AK81" s="69"/>
      <c r="AL81" s="70"/>
      <c r="AM81" s="71"/>
      <c r="AN81" s="69"/>
      <c r="AO81" s="69"/>
      <c r="AP81" s="69"/>
      <c r="AQ81" s="70"/>
      <c r="AR81" s="71"/>
      <c r="AS81" s="69"/>
      <c r="AT81" s="69"/>
      <c r="AU81" s="69"/>
      <c r="AV81" s="70"/>
      <c r="AW81" s="71"/>
      <c r="AX81" s="69"/>
      <c r="AY81" s="69"/>
      <c r="AZ81" s="69"/>
      <c r="BA81" s="70"/>
      <c r="BB81" s="71"/>
      <c r="BC81" s="69"/>
      <c r="BD81" s="69"/>
      <c r="BE81" s="69"/>
      <c r="BF81" s="70"/>
      <c r="BG81" s="71"/>
      <c r="BH81" s="69"/>
      <c r="BI81" s="69"/>
      <c r="BJ81" s="69"/>
      <c r="BK81" s="70"/>
      <c r="BL81" s="71"/>
      <c r="BM81" s="69"/>
      <c r="BN81" s="69"/>
      <c r="BO81" s="69"/>
      <c r="BP81" s="70"/>
      <c r="BQ81" s="71"/>
      <c r="BR81" s="69"/>
      <c r="BS81" s="69"/>
      <c r="BT81" s="69"/>
      <c r="BU81" s="70"/>
      <c r="BV81" s="3"/>
    </row>
    <row r="82" ht="30.0" hidden="1" customHeight="1">
      <c r="A82" s="51"/>
      <c r="B82" s="145"/>
      <c r="C82" s="148"/>
      <c r="D82" s="62"/>
      <c r="E82" s="61"/>
      <c r="F82" s="62"/>
      <c r="G82" s="63"/>
      <c r="H82" s="64"/>
      <c r="I82" s="153"/>
      <c r="J82" s="65">
        <f>days(I81,H82)</f>
        <v>0</v>
      </c>
      <c r="K82" s="123">
        <v>0.0</v>
      </c>
      <c r="L82" s="116"/>
      <c r="M82" s="117"/>
      <c r="N82" s="71"/>
      <c r="O82" s="69"/>
      <c r="P82" s="69"/>
      <c r="Q82" s="69"/>
      <c r="R82" s="70"/>
      <c r="S82" s="69"/>
      <c r="T82" s="69"/>
      <c r="U82" s="69"/>
      <c r="V82" s="69"/>
      <c r="W82" s="70"/>
      <c r="X82" s="69"/>
      <c r="Y82" s="69"/>
      <c r="Z82" s="69"/>
      <c r="AA82" s="69"/>
      <c r="AB82" s="70"/>
      <c r="AC82" s="71"/>
      <c r="AD82" s="69"/>
      <c r="AE82" s="69"/>
      <c r="AF82" s="69"/>
      <c r="AG82" s="70"/>
      <c r="AH82" s="71"/>
      <c r="AI82" s="69"/>
      <c r="AJ82" s="69"/>
      <c r="AK82" s="69"/>
      <c r="AL82" s="70"/>
      <c r="AM82" s="71"/>
      <c r="AN82" s="69"/>
      <c r="AO82" s="69"/>
      <c r="AP82" s="69"/>
      <c r="AQ82" s="70"/>
      <c r="AR82" s="71"/>
      <c r="AS82" s="69"/>
      <c r="AT82" s="69"/>
      <c r="AU82" s="69"/>
      <c r="AV82" s="70"/>
      <c r="AW82" s="71"/>
      <c r="AX82" s="69"/>
      <c r="AY82" s="69"/>
      <c r="AZ82" s="69"/>
      <c r="BA82" s="70"/>
      <c r="BB82" s="71"/>
      <c r="BC82" s="69"/>
      <c r="BD82" s="69"/>
      <c r="BE82" s="69"/>
      <c r="BF82" s="70"/>
      <c r="BG82" s="71"/>
      <c r="BH82" s="69"/>
      <c r="BI82" s="69"/>
      <c r="BJ82" s="69"/>
      <c r="BK82" s="70"/>
      <c r="BL82" s="71"/>
      <c r="BM82" s="69"/>
      <c r="BN82" s="69"/>
      <c r="BO82" s="69"/>
      <c r="BP82" s="70"/>
      <c r="BQ82" s="71"/>
      <c r="BR82" s="69"/>
      <c r="BS82" s="69"/>
      <c r="BT82" s="69"/>
      <c r="BU82" s="70"/>
      <c r="BV82" s="3"/>
    </row>
    <row r="83" ht="29.25" hidden="1" customHeight="1">
      <c r="A83" s="88"/>
      <c r="B83" s="150"/>
      <c r="C83" s="151"/>
      <c r="D83" s="62"/>
      <c r="E83" s="93"/>
      <c r="F83" s="62"/>
      <c r="G83" s="92"/>
      <c r="H83" s="64"/>
      <c r="I83" s="64"/>
      <c r="J83" s="65">
        <f t="shared" ref="J83:J85" si="28">days(I83,H83)</f>
        <v>0</v>
      </c>
      <c r="K83" s="123">
        <v>0.0</v>
      </c>
      <c r="L83" s="124"/>
      <c r="M83" s="125"/>
      <c r="N83" s="89"/>
      <c r="O83" s="89"/>
      <c r="P83" s="89"/>
      <c r="Q83" s="89"/>
      <c r="R83" s="90"/>
      <c r="S83" s="91"/>
      <c r="T83" s="89"/>
      <c r="U83" s="89"/>
      <c r="V83" s="89"/>
      <c r="W83" s="90"/>
      <c r="X83" s="91"/>
      <c r="Y83" s="89"/>
      <c r="Z83" s="89"/>
      <c r="AA83" s="89"/>
      <c r="AB83" s="90"/>
      <c r="AC83" s="91"/>
      <c r="AD83" s="89"/>
      <c r="AE83" s="89"/>
      <c r="AF83" s="89"/>
      <c r="AG83" s="90"/>
      <c r="AH83" s="91"/>
      <c r="AI83" s="89"/>
      <c r="AJ83" s="89"/>
      <c r="AK83" s="89"/>
      <c r="AL83" s="90"/>
      <c r="AM83" s="91"/>
      <c r="AN83" s="89"/>
      <c r="AO83" s="89"/>
      <c r="AP83" s="89"/>
      <c r="AQ83" s="90"/>
      <c r="AR83" s="91"/>
      <c r="AS83" s="89"/>
      <c r="AT83" s="89"/>
      <c r="AU83" s="89"/>
      <c r="AV83" s="90"/>
      <c r="AW83" s="91"/>
      <c r="AX83" s="89"/>
      <c r="AY83" s="89"/>
      <c r="AZ83" s="89"/>
      <c r="BA83" s="90"/>
      <c r="BB83" s="91"/>
      <c r="BC83" s="89"/>
      <c r="BD83" s="89"/>
      <c r="BE83" s="89"/>
      <c r="BF83" s="90"/>
      <c r="BG83" s="91"/>
      <c r="BH83" s="89"/>
      <c r="BI83" s="89"/>
      <c r="BJ83" s="89"/>
      <c r="BK83" s="90"/>
      <c r="BL83" s="91"/>
      <c r="BM83" s="89"/>
      <c r="BN83" s="89"/>
      <c r="BO83" s="89"/>
      <c r="BP83" s="90"/>
      <c r="BQ83" s="91"/>
      <c r="BR83" s="89"/>
      <c r="BS83" s="89"/>
      <c r="BT83" s="89"/>
      <c r="BU83" s="90"/>
      <c r="BV83" s="88"/>
    </row>
    <row r="84" ht="30.0" hidden="1" customHeight="1">
      <c r="A84" s="1"/>
      <c r="B84" s="145"/>
      <c r="C84" s="148"/>
      <c r="D84" s="62"/>
      <c r="E84" s="61"/>
      <c r="F84" s="62"/>
      <c r="G84" s="63"/>
      <c r="H84" s="64"/>
      <c r="I84" s="64"/>
      <c r="J84" s="65">
        <f t="shared" si="28"/>
        <v>0</v>
      </c>
      <c r="K84" s="123">
        <v>0.0</v>
      </c>
      <c r="L84" s="116"/>
      <c r="M84" s="117"/>
      <c r="N84" s="71"/>
      <c r="O84" s="69"/>
      <c r="P84" s="69"/>
      <c r="Q84" s="69"/>
      <c r="R84" s="70"/>
      <c r="S84" s="69"/>
      <c r="T84" s="69"/>
      <c r="U84" s="69"/>
      <c r="V84" s="69"/>
      <c r="W84" s="70"/>
      <c r="X84" s="69"/>
      <c r="Y84" s="69"/>
      <c r="Z84" s="69"/>
      <c r="AA84" s="69"/>
      <c r="AB84" s="70"/>
      <c r="AC84" s="71"/>
      <c r="AD84" s="69"/>
      <c r="AE84" s="69"/>
      <c r="AF84" s="69"/>
      <c r="AG84" s="70"/>
      <c r="AH84" s="71"/>
      <c r="AI84" s="69"/>
      <c r="AJ84" s="69"/>
      <c r="AK84" s="69"/>
      <c r="AL84" s="70"/>
      <c r="AM84" s="71"/>
      <c r="AN84" s="69"/>
      <c r="AO84" s="69"/>
      <c r="AP84" s="69"/>
      <c r="AQ84" s="70"/>
      <c r="AR84" s="71"/>
      <c r="AS84" s="69"/>
      <c r="AT84" s="69"/>
      <c r="AU84" s="69"/>
      <c r="AV84" s="70"/>
      <c r="AW84" s="71"/>
      <c r="AX84" s="69"/>
      <c r="AY84" s="69"/>
      <c r="AZ84" s="69"/>
      <c r="BA84" s="70"/>
      <c r="BB84" s="71"/>
      <c r="BC84" s="69"/>
      <c r="BD84" s="69"/>
      <c r="BE84" s="69"/>
      <c r="BF84" s="70"/>
      <c r="BG84" s="71"/>
      <c r="BH84" s="69"/>
      <c r="BI84" s="69"/>
      <c r="BJ84" s="69"/>
      <c r="BK84" s="70"/>
      <c r="BL84" s="71"/>
      <c r="BM84" s="69"/>
      <c r="BN84" s="69"/>
      <c r="BO84" s="69"/>
      <c r="BP84" s="70"/>
      <c r="BQ84" s="71"/>
      <c r="BR84" s="69"/>
      <c r="BS84" s="69"/>
      <c r="BT84" s="69"/>
      <c r="BU84" s="70"/>
      <c r="BV84" s="3"/>
    </row>
    <row r="85" ht="21.0" hidden="1" customHeight="1">
      <c r="A85" s="1"/>
      <c r="B85" s="60"/>
      <c r="C85" s="61"/>
      <c r="D85" s="62"/>
      <c r="E85" s="61"/>
      <c r="F85" s="62"/>
      <c r="G85" s="63"/>
      <c r="H85" s="64"/>
      <c r="I85" s="64"/>
      <c r="J85" s="65">
        <f t="shared" si="28"/>
        <v>0</v>
      </c>
      <c r="K85" s="123">
        <v>0.0</v>
      </c>
      <c r="L85" s="133"/>
      <c r="M85" s="134"/>
      <c r="N85" s="71"/>
      <c r="O85" s="69"/>
      <c r="P85" s="69"/>
      <c r="Q85" s="69"/>
      <c r="R85" s="70"/>
      <c r="S85" s="71"/>
      <c r="T85" s="69"/>
      <c r="U85" s="69"/>
      <c r="V85" s="69"/>
      <c r="W85" s="70"/>
      <c r="X85" s="69"/>
      <c r="Y85" s="69"/>
      <c r="Z85" s="69"/>
      <c r="AA85" s="69"/>
      <c r="AB85" s="70"/>
      <c r="AC85" s="71"/>
      <c r="AD85" s="69"/>
      <c r="AE85" s="69"/>
      <c r="AF85" s="69"/>
      <c r="AG85" s="70"/>
      <c r="AH85" s="71"/>
      <c r="AI85" s="69"/>
      <c r="AJ85" s="69"/>
      <c r="AK85" s="69"/>
      <c r="AL85" s="70"/>
      <c r="AM85" s="71"/>
      <c r="AN85" s="69"/>
      <c r="AO85" s="69"/>
      <c r="AP85" s="69"/>
      <c r="AQ85" s="70"/>
      <c r="AR85" s="71"/>
      <c r="AS85" s="69"/>
      <c r="AT85" s="69"/>
      <c r="AU85" s="69"/>
      <c r="AV85" s="70"/>
      <c r="AW85" s="71"/>
      <c r="AX85" s="69"/>
      <c r="AY85" s="69"/>
      <c r="AZ85" s="69"/>
      <c r="BA85" s="70"/>
      <c r="BB85" s="71"/>
      <c r="BC85" s="69"/>
      <c r="BD85" s="69"/>
      <c r="BE85" s="69"/>
      <c r="BF85" s="70"/>
      <c r="BG85" s="71"/>
      <c r="BH85" s="69"/>
      <c r="BI85" s="69"/>
      <c r="BJ85" s="69"/>
      <c r="BK85" s="70"/>
      <c r="BL85" s="71"/>
      <c r="BM85" s="69"/>
      <c r="BN85" s="69"/>
      <c r="BO85" s="69"/>
      <c r="BP85" s="70"/>
      <c r="BQ85" s="71"/>
      <c r="BR85" s="69"/>
      <c r="BS85" s="69"/>
      <c r="BT85" s="69"/>
      <c r="BU85" s="70"/>
      <c r="BV85" s="3"/>
    </row>
  </sheetData>
  <mergeCells count="235">
    <mergeCell ref="C22:D22"/>
    <mergeCell ref="E22:F22"/>
    <mergeCell ref="C23:D23"/>
    <mergeCell ref="E23:F23"/>
    <mergeCell ref="C24:D24"/>
    <mergeCell ref="C25:D26"/>
    <mergeCell ref="E25:F26"/>
    <mergeCell ref="C27:D27"/>
    <mergeCell ref="E27:F27"/>
    <mergeCell ref="C28:D28"/>
    <mergeCell ref="E28:F28"/>
    <mergeCell ref="C29:D29"/>
    <mergeCell ref="E29:F29"/>
    <mergeCell ref="E30:F30"/>
    <mergeCell ref="H33:H34"/>
    <mergeCell ref="I33:I34"/>
    <mergeCell ref="J33:J34"/>
    <mergeCell ref="K33:K34"/>
    <mergeCell ref="C30:D30"/>
    <mergeCell ref="C31:D31"/>
    <mergeCell ref="C32:D32"/>
    <mergeCell ref="E32:F32"/>
    <mergeCell ref="B33:B34"/>
    <mergeCell ref="C33:D34"/>
    <mergeCell ref="E33:F34"/>
    <mergeCell ref="J36:J37"/>
    <mergeCell ref="K36:K37"/>
    <mergeCell ref="C35:D35"/>
    <mergeCell ref="E35:F35"/>
    <mergeCell ref="B36:B37"/>
    <mergeCell ref="C36:D37"/>
    <mergeCell ref="E36:F37"/>
    <mergeCell ref="H36:H37"/>
    <mergeCell ref="I36:I37"/>
    <mergeCell ref="C38:D38"/>
    <mergeCell ref="E38:F38"/>
    <mergeCell ref="C39:D39"/>
    <mergeCell ref="C40:D40"/>
    <mergeCell ref="E40:F40"/>
    <mergeCell ref="C41:D41"/>
    <mergeCell ref="E41:F41"/>
    <mergeCell ref="C69:D69"/>
    <mergeCell ref="C70:D70"/>
    <mergeCell ref="E70:F70"/>
    <mergeCell ref="C71:D71"/>
    <mergeCell ref="E71:F71"/>
    <mergeCell ref="C67:D67"/>
    <mergeCell ref="E67:F67"/>
    <mergeCell ref="L67:M68"/>
    <mergeCell ref="C68:D68"/>
    <mergeCell ref="E68:F68"/>
    <mergeCell ref="E69:F69"/>
    <mergeCell ref="L69:M72"/>
    <mergeCell ref="C75:D75"/>
    <mergeCell ref="C76:D76"/>
    <mergeCell ref="C72:D72"/>
    <mergeCell ref="E72:F72"/>
    <mergeCell ref="C73:D73"/>
    <mergeCell ref="C74:D74"/>
    <mergeCell ref="E74:F74"/>
    <mergeCell ref="L74:M77"/>
    <mergeCell ref="E75:F75"/>
    <mergeCell ref="C80:D80"/>
    <mergeCell ref="C81:D81"/>
    <mergeCell ref="C82:D82"/>
    <mergeCell ref="C83:D83"/>
    <mergeCell ref="C84:D84"/>
    <mergeCell ref="C85:D85"/>
    <mergeCell ref="E81:F81"/>
    <mergeCell ref="E82:F82"/>
    <mergeCell ref="E83:F83"/>
    <mergeCell ref="E84:F84"/>
    <mergeCell ref="E85:F85"/>
    <mergeCell ref="E76:F76"/>
    <mergeCell ref="C77:D77"/>
    <mergeCell ref="E77:F77"/>
    <mergeCell ref="C78:D78"/>
    <mergeCell ref="C79:D79"/>
    <mergeCell ref="E79:F79"/>
    <mergeCell ref="E80:F80"/>
    <mergeCell ref="BH53:BH54"/>
    <mergeCell ref="BI53:BI54"/>
    <mergeCell ref="BJ53:BJ54"/>
    <mergeCell ref="BK53:BK54"/>
    <mergeCell ref="BN60:BN61"/>
    <mergeCell ref="BO60:BO61"/>
    <mergeCell ref="BP60:BP61"/>
    <mergeCell ref="BL53:BL54"/>
    <mergeCell ref="BM53:BM54"/>
    <mergeCell ref="BN53:BN54"/>
    <mergeCell ref="BG53:BG54"/>
    <mergeCell ref="E56:F57"/>
    <mergeCell ref="H56:H57"/>
    <mergeCell ref="I56:I57"/>
    <mergeCell ref="J56:J57"/>
    <mergeCell ref="K56:K57"/>
    <mergeCell ref="E60:F61"/>
    <mergeCell ref="H60:H61"/>
    <mergeCell ref="I60:I61"/>
    <mergeCell ref="J60:J61"/>
    <mergeCell ref="K60:K61"/>
    <mergeCell ref="BL60:BL61"/>
    <mergeCell ref="BM60:BM61"/>
    <mergeCell ref="B42:B43"/>
    <mergeCell ref="C42:D43"/>
    <mergeCell ref="E42:F43"/>
    <mergeCell ref="H42:H43"/>
    <mergeCell ref="I42:I43"/>
    <mergeCell ref="J42:J43"/>
    <mergeCell ref="K42:K43"/>
    <mergeCell ref="C44:D44"/>
    <mergeCell ref="E44:F44"/>
    <mergeCell ref="C45:D45"/>
    <mergeCell ref="C46:D46"/>
    <mergeCell ref="E46:F46"/>
    <mergeCell ref="C47:D47"/>
    <mergeCell ref="E47:F47"/>
    <mergeCell ref="C48:D48"/>
    <mergeCell ref="C49:D49"/>
    <mergeCell ref="E49:F49"/>
    <mergeCell ref="C50:D50"/>
    <mergeCell ref="E50:F50"/>
    <mergeCell ref="C51:D51"/>
    <mergeCell ref="E51:F51"/>
    <mergeCell ref="C52:D52"/>
    <mergeCell ref="B53:B54"/>
    <mergeCell ref="E53:F54"/>
    <mergeCell ref="H53:H54"/>
    <mergeCell ref="I53:I54"/>
    <mergeCell ref="J53:J54"/>
    <mergeCell ref="K53:K54"/>
    <mergeCell ref="C53:D54"/>
    <mergeCell ref="C55:D55"/>
    <mergeCell ref="E55:F55"/>
    <mergeCell ref="C56:D57"/>
    <mergeCell ref="B56:B57"/>
    <mergeCell ref="C63:D63"/>
    <mergeCell ref="E63:F63"/>
    <mergeCell ref="C64:D64"/>
    <mergeCell ref="E64:F64"/>
    <mergeCell ref="C65:D65"/>
    <mergeCell ref="E65:F65"/>
    <mergeCell ref="C66:D66"/>
    <mergeCell ref="C58:D58"/>
    <mergeCell ref="C59:D59"/>
    <mergeCell ref="E59:F59"/>
    <mergeCell ref="C62:D62"/>
    <mergeCell ref="E62:F62"/>
    <mergeCell ref="B60:B61"/>
    <mergeCell ref="C60:D61"/>
    <mergeCell ref="AA33:AA34"/>
    <mergeCell ref="AA36:AA37"/>
    <mergeCell ref="AB36:AB37"/>
    <mergeCell ref="AL42:AL43"/>
    <mergeCell ref="AK42:AK43"/>
    <mergeCell ref="AJ42:AJ43"/>
    <mergeCell ref="AI42:AI43"/>
    <mergeCell ref="S16:W16"/>
    <mergeCell ref="X16:AB16"/>
    <mergeCell ref="Z33:Z34"/>
    <mergeCell ref="AB33:AB34"/>
    <mergeCell ref="V25:V26"/>
    <mergeCell ref="W25:W26"/>
    <mergeCell ref="S20:S21"/>
    <mergeCell ref="N14:R14"/>
    <mergeCell ref="N16:R16"/>
    <mergeCell ref="AC16:AG16"/>
    <mergeCell ref="AH16:AL16"/>
    <mergeCell ref="I14:I17"/>
    <mergeCell ref="J14:J17"/>
    <mergeCell ref="S14:W14"/>
    <mergeCell ref="X14:AB14"/>
    <mergeCell ref="AC14:AG14"/>
    <mergeCell ref="AH14:AL14"/>
    <mergeCell ref="AH15:AL15"/>
    <mergeCell ref="I20:I21"/>
    <mergeCell ref="J20:J21"/>
    <mergeCell ref="K20:K21"/>
    <mergeCell ref="C18:D18"/>
    <mergeCell ref="C19:D19"/>
    <mergeCell ref="E19:F19"/>
    <mergeCell ref="B20:B21"/>
    <mergeCell ref="C20:D21"/>
    <mergeCell ref="E20:F21"/>
    <mergeCell ref="H20:H21"/>
    <mergeCell ref="H25:H26"/>
    <mergeCell ref="I25:I26"/>
    <mergeCell ref="J25:J26"/>
    <mergeCell ref="K25:K26"/>
    <mergeCell ref="U20:U21"/>
    <mergeCell ref="T20:T21"/>
    <mergeCell ref="R20:R21"/>
    <mergeCell ref="Q20:Q21"/>
    <mergeCell ref="A2:K2"/>
    <mergeCell ref="B4:K4"/>
    <mergeCell ref="B5:K5"/>
    <mergeCell ref="B8:K8"/>
    <mergeCell ref="B9:C9"/>
    <mergeCell ref="D9:E9"/>
    <mergeCell ref="G9:K9"/>
    <mergeCell ref="G14:G17"/>
    <mergeCell ref="H14:H17"/>
    <mergeCell ref="B10:C10"/>
    <mergeCell ref="D10:E10"/>
    <mergeCell ref="G10:K10"/>
    <mergeCell ref="A14:A17"/>
    <mergeCell ref="B14:B17"/>
    <mergeCell ref="C14:D17"/>
    <mergeCell ref="E14:F17"/>
    <mergeCell ref="K14:K17"/>
    <mergeCell ref="AM14:AQ14"/>
    <mergeCell ref="AR14:AV14"/>
    <mergeCell ref="AW14:BA14"/>
    <mergeCell ref="BB14:BF14"/>
    <mergeCell ref="BG14:BK14"/>
    <mergeCell ref="BL14:BP14"/>
    <mergeCell ref="BQ14:BV14"/>
    <mergeCell ref="N15:R15"/>
    <mergeCell ref="S15:W15"/>
    <mergeCell ref="AM16:AQ16"/>
    <mergeCell ref="AR16:AV16"/>
    <mergeCell ref="AW16:BA16"/>
    <mergeCell ref="BB16:BF16"/>
    <mergeCell ref="BG16:BK16"/>
    <mergeCell ref="BL16:BP16"/>
    <mergeCell ref="BQ16:BV16"/>
    <mergeCell ref="X15:AB15"/>
    <mergeCell ref="AC15:AG15"/>
    <mergeCell ref="AM15:AQ15"/>
    <mergeCell ref="AR15:AV15"/>
    <mergeCell ref="AW15:BA15"/>
    <mergeCell ref="BB15:BF15"/>
    <mergeCell ref="BG15:BK15"/>
    <mergeCell ref="BQ15:BV15"/>
    <mergeCell ref="BL15:BP15"/>
  </mergeCells>
  <conditionalFormatting sqref="B18:BV18 B24:BV24 B31:BV31 B45:BV45 K48:K49 L48:M48 C49:D49 J49 B52:BV52 B58:BV58">
    <cfRule type="containsBlanks" dxfId="0" priority="1">
      <formula>LEN(TRIM(B18))=0</formula>
    </cfRule>
  </conditionalFormatting>
  <conditionalFormatting sqref="K19:M23 K25:M30 K32:M38 K40:M65 K67:M72 K74:M77 K79:M85">
    <cfRule type="containsBlanks" dxfId="1" priority="2">
      <formula>LEN(TRIM(K19))=0</formula>
    </cfRule>
  </conditionalFormatting>
  <conditionalFormatting sqref="K19:M23 K25:M30 K32:M38 K40:M65 K67:M72 K74:M77 K79:M85">
    <cfRule type="cellIs" dxfId="2" priority="3" operator="greaterThanOrEqual">
      <formula>0.8</formula>
    </cfRule>
  </conditionalFormatting>
  <conditionalFormatting sqref="K19:M23 K25:M30 K32:M38 K40:M65 K67:M72 K74:M77 K79:M85">
    <cfRule type="cellIs" dxfId="3" priority="4" operator="between">
      <formula>0</formula>
      <formula>0.3</formula>
    </cfRule>
  </conditionalFormatting>
  <conditionalFormatting sqref="K19:M23 K25:M30 K32:M38 K40:M65 K67:M72 K74:M77 K79:M85">
    <cfRule type="cellIs" dxfId="4" priority="5" operator="between">
      <formula>0.31</formula>
      <formula>0.79</formula>
    </cfRule>
  </conditionalFormatting>
  <conditionalFormatting sqref="N19:BV85">
    <cfRule type="expression" dxfId="5" priority="6">
      <formula>AND(N$17 &gt;= $H19, N$17 &lt;= $I19)</formula>
    </cfRule>
  </conditionalFormatting>
  <dataValidations>
    <dataValidation type="list" allowBlank="1" showErrorMessage="1" sqref="G19:G23 G25:G30 G32:G38 G40:G44 G46:G47 G49:G51 G53:G57 G59:G65 G67:G72 G74:G77 G79:G85">
      <formula1>"Virtucio,Santos,Rementas,Vergara,ALL"</formula1>
    </dataValidation>
    <dataValidation type="custom" allowBlank="1" showDropDown="1" sqref="N16 S16 X16 AC16 AH16 AM16 AR16 AW16 BB16 BG16 BL16 BQ16 H19:I20 H22:I25 H27:I33 H35:I36 H38:I42 H44:I53 H55:I56 H58:I60 H62:I85">
      <formula1>OR(NOT(ISERROR(DATEVALUE(H16))), AND(ISNUMBER(H16), LEFT(CELL("format", H16))="D"))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